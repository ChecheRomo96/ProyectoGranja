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lopez_rendon_tec_mx/Documents/Documents/2025/"/>
    </mc:Choice>
  </mc:AlternateContent>
  <xr:revisionPtr revIDLastSave="5066" documentId="8_{344A71B5-D2AF-4C80-80C1-5280148FCFF1}" xr6:coauthVersionLast="47" xr6:coauthVersionMax="47" xr10:uidLastSave="{6447542F-9102-43AC-B227-938CA3646FDD}"/>
  <bookViews>
    <workbookView xWindow="-110" yWindow="-110" windowWidth="19420" windowHeight="10300" firstSheet="3" activeTab="11" xr2:uid="{1DA6BBDA-3CD1-41EB-9062-1FCD1BC5B850}"/>
  </bookViews>
  <sheets>
    <sheet name="Enero 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10" r:id="rId7"/>
    <sheet name="Agosto" sheetId="13" r:id="rId8"/>
    <sheet name="Septiembre" sheetId="15" r:id="rId9"/>
    <sheet name="dieta Mayo" sheetId="7" r:id="rId10"/>
    <sheet name="Dieta Junio" sheetId="9" r:id="rId11"/>
    <sheet name="Dieta Agosto" sheetId="14" r:id="rId12"/>
  </sheets>
  <definedNames>
    <definedName name="_xlnm._FilterDatabase" localSheetId="5" hidden="1">Junio!$A$2:$H$182</definedName>
    <definedName name="_xlnm._FilterDatabase" localSheetId="2" hidden="1">Marzo!$A$2:$I$188</definedName>
    <definedName name="_xlnm._FilterDatabase" localSheetId="4" hidden="1">Mayo!$A$2:$I$188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5" l="1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5" i="15"/>
  <c r="J176" i="13"/>
  <c r="H161" i="15"/>
  <c r="H169" i="15"/>
  <c r="H177" i="15"/>
  <c r="G15" i="15"/>
  <c r="H15" i="15" s="1"/>
  <c r="G16" i="15"/>
  <c r="H16" i="15" s="1"/>
  <c r="G22" i="15"/>
  <c r="H22" i="15" s="1"/>
  <c r="G72" i="15"/>
  <c r="H72" i="15" s="1"/>
  <c r="G73" i="15"/>
  <c r="H73" i="15" s="1"/>
  <c r="G80" i="15"/>
  <c r="H80" i="15" s="1"/>
  <c r="G82" i="15"/>
  <c r="H82" i="15" s="1"/>
  <c r="G118" i="15"/>
  <c r="H118" i="15" s="1"/>
  <c r="G129" i="15"/>
  <c r="H129" i="15" s="1"/>
  <c r="G146" i="15"/>
  <c r="H146" i="15" s="1"/>
  <c r="G161" i="15"/>
  <c r="G162" i="15"/>
  <c r="H162" i="15" s="1"/>
  <c r="G166" i="15"/>
  <c r="H166" i="15" s="1"/>
  <c r="G169" i="15"/>
  <c r="G170" i="15"/>
  <c r="H170" i="15" s="1"/>
  <c r="G174" i="15"/>
  <c r="H174" i="15" s="1"/>
  <c r="G177" i="15"/>
  <c r="G178" i="15"/>
  <c r="H178" i="15" s="1"/>
  <c r="G182" i="15"/>
  <c r="H182" i="15" s="1"/>
  <c r="G14" i="15"/>
  <c r="H14" i="15" s="1"/>
  <c r="E11" i="15"/>
  <c r="G11" i="15" s="1"/>
  <c r="H11" i="15" s="1"/>
  <c r="E12" i="15"/>
  <c r="G12" i="15" s="1"/>
  <c r="H12" i="15" s="1"/>
  <c r="E13" i="15"/>
  <c r="G13" i="15" s="1"/>
  <c r="H13" i="15" s="1"/>
  <c r="E14" i="15"/>
  <c r="E15" i="15"/>
  <c r="E16" i="15"/>
  <c r="E17" i="15"/>
  <c r="G17" i="15" s="1"/>
  <c r="H17" i="15" s="1"/>
  <c r="E18" i="15"/>
  <c r="G18" i="15" s="1"/>
  <c r="H18" i="15" s="1"/>
  <c r="E19" i="15"/>
  <c r="G19" i="15" s="1"/>
  <c r="H19" i="15" s="1"/>
  <c r="E20" i="15"/>
  <c r="G20" i="15" s="1"/>
  <c r="H20" i="15" s="1"/>
  <c r="E21" i="15"/>
  <c r="G21" i="15" s="1"/>
  <c r="H21" i="15" s="1"/>
  <c r="E22" i="15"/>
  <c r="E23" i="15"/>
  <c r="G23" i="15" s="1"/>
  <c r="H23" i="15" s="1"/>
  <c r="E24" i="15"/>
  <c r="G24" i="15" s="1"/>
  <c r="H24" i="15" s="1"/>
  <c r="E25" i="15"/>
  <c r="G25" i="15" s="1"/>
  <c r="H25" i="15" s="1"/>
  <c r="E26" i="15"/>
  <c r="G26" i="15" s="1"/>
  <c r="H26" i="15" s="1"/>
  <c r="E27" i="15"/>
  <c r="G27" i="15" s="1"/>
  <c r="H27" i="15" s="1"/>
  <c r="E28" i="15"/>
  <c r="G28" i="15" s="1"/>
  <c r="H28" i="15" s="1"/>
  <c r="E29" i="15"/>
  <c r="G29" i="15" s="1"/>
  <c r="H29" i="15" s="1"/>
  <c r="E30" i="15"/>
  <c r="G30" i="15" s="1"/>
  <c r="H30" i="15" s="1"/>
  <c r="E31" i="15"/>
  <c r="G31" i="15" s="1"/>
  <c r="H31" i="15" s="1"/>
  <c r="E32" i="15"/>
  <c r="G32" i="15" s="1"/>
  <c r="H32" i="15" s="1"/>
  <c r="E33" i="15"/>
  <c r="G33" i="15" s="1"/>
  <c r="H33" i="15" s="1"/>
  <c r="E34" i="15"/>
  <c r="G34" i="15" s="1"/>
  <c r="H34" i="15" s="1"/>
  <c r="E35" i="15"/>
  <c r="G35" i="15" s="1"/>
  <c r="H35" i="15" s="1"/>
  <c r="E36" i="15"/>
  <c r="G36" i="15" s="1"/>
  <c r="H36" i="15" s="1"/>
  <c r="E37" i="15"/>
  <c r="G37" i="15" s="1"/>
  <c r="H37" i="15" s="1"/>
  <c r="E38" i="15"/>
  <c r="G38" i="15" s="1"/>
  <c r="H38" i="15" s="1"/>
  <c r="E39" i="15"/>
  <c r="G39" i="15" s="1"/>
  <c r="H39" i="15" s="1"/>
  <c r="E40" i="15"/>
  <c r="G40" i="15" s="1"/>
  <c r="H40" i="15" s="1"/>
  <c r="E41" i="15"/>
  <c r="G41" i="15" s="1"/>
  <c r="H41" i="15" s="1"/>
  <c r="E42" i="15"/>
  <c r="G42" i="15" s="1"/>
  <c r="H42" i="15" s="1"/>
  <c r="E43" i="15"/>
  <c r="G43" i="15" s="1"/>
  <c r="H43" i="15" s="1"/>
  <c r="E44" i="15"/>
  <c r="G44" i="15" s="1"/>
  <c r="H44" i="15" s="1"/>
  <c r="E45" i="15"/>
  <c r="G45" i="15" s="1"/>
  <c r="H45" i="15" s="1"/>
  <c r="E46" i="15"/>
  <c r="G46" i="15" s="1"/>
  <c r="H46" i="15" s="1"/>
  <c r="E47" i="15"/>
  <c r="G47" i="15" s="1"/>
  <c r="H47" i="15" s="1"/>
  <c r="E48" i="15"/>
  <c r="G48" i="15" s="1"/>
  <c r="H48" i="15" s="1"/>
  <c r="E49" i="15"/>
  <c r="G49" i="15" s="1"/>
  <c r="H49" i="15" s="1"/>
  <c r="E50" i="15"/>
  <c r="G50" i="15" s="1"/>
  <c r="H50" i="15" s="1"/>
  <c r="E51" i="15"/>
  <c r="G51" i="15" s="1"/>
  <c r="H51" i="15" s="1"/>
  <c r="E52" i="15"/>
  <c r="G52" i="15" s="1"/>
  <c r="H52" i="15" s="1"/>
  <c r="E53" i="15"/>
  <c r="G53" i="15" s="1"/>
  <c r="H53" i="15" s="1"/>
  <c r="E54" i="15"/>
  <c r="G54" i="15" s="1"/>
  <c r="H54" i="15" s="1"/>
  <c r="E55" i="15"/>
  <c r="G55" i="15" s="1"/>
  <c r="H55" i="15" s="1"/>
  <c r="E56" i="15"/>
  <c r="G56" i="15" s="1"/>
  <c r="H56" i="15" s="1"/>
  <c r="E57" i="15"/>
  <c r="G57" i="15" s="1"/>
  <c r="H57" i="15" s="1"/>
  <c r="E58" i="15"/>
  <c r="G58" i="15" s="1"/>
  <c r="H58" i="15" s="1"/>
  <c r="E59" i="15"/>
  <c r="G59" i="15" s="1"/>
  <c r="H59" i="15" s="1"/>
  <c r="E60" i="15"/>
  <c r="G60" i="15" s="1"/>
  <c r="H60" i="15" s="1"/>
  <c r="E61" i="15"/>
  <c r="G61" i="15" s="1"/>
  <c r="H61" i="15" s="1"/>
  <c r="E62" i="15"/>
  <c r="G62" i="15" s="1"/>
  <c r="H62" i="15" s="1"/>
  <c r="E63" i="15"/>
  <c r="G63" i="15" s="1"/>
  <c r="H63" i="15" s="1"/>
  <c r="E64" i="15"/>
  <c r="G64" i="15" s="1"/>
  <c r="H64" i="15" s="1"/>
  <c r="E65" i="15"/>
  <c r="G65" i="15" s="1"/>
  <c r="H65" i="15" s="1"/>
  <c r="E66" i="15"/>
  <c r="G66" i="15" s="1"/>
  <c r="H66" i="15" s="1"/>
  <c r="E67" i="15"/>
  <c r="G67" i="15" s="1"/>
  <c r="H67" i="15" s="1"/>
  <c r="E68" i="15"/>
  <c r="G68" i="15" s="1"/>
  <c r="H68" i="15" s="1"/>
  <c r="E69" i="15"/>
  <c r="G69" i="15" s="1"/>
  <c r="H69" i="15" s="1"/>
  <c r="E70" i="15"/>
  <c r="G70" i="15" s="1"/>
  <c r="H70" i="15" s="1"/>
  <c r="E71" i="15"/>
  <c r="G71" i="15" s="1"/>
  <c r="H71" i="15" s="1"/>
  <c r="E72" i="15"/>
  <c r="E73" i="15"/>
  <c r="E74" i="15"/>
  <c r="G74" i="15" s="1"/>
  <c r="H74" i="15" s="1"/>
  <c r="E75" i="15"/>
  <c r="G75" i="15" s="1"/>
  <c r="H75" i="15" s="1"/>
  <c r="E76" i="15"/>
  <c r="G76" i="15" s="1"/>
  <c r="H76" i="15" s="1"/>
  <c r="E77" i="15"/>
  <c r="G77" i="15" s="1"/>
  <c r="H77" i="15" s="1"/>
  <c r="E78" i="15"/>
  <c r="G78" i="15" s="1"/>
  <c r="H78" i="15" s="1"/>
  <c r="E79" i="15"/>
  <c r="G79" i="15" s="1"/>
  <c r="H79" i="15" s="1"/>
  <c r="E80" i="15"/>
  <c r="E81" i="15"/>
  <c r="G81" i="15" s="1"/>
  <c r="H81" i="15" s="1"/>
  <c r="E82" i="15"/>
  <c r="E83" i="15"/>
  <c r="G83" i="15" s="1"/>
  <c r="H83" i="15" s="1"/>
  <c r="E84" i="15"/>
  <c r="G84" i="15" s="1"/>
  <c r="H84" i="15" s="1"/>
  <c r="E85" i="15"/>
  <c r="G85" i="15" s="1"/>
  <c r="H85" i="15" s="1"/>
  <c r="E86" i="15"/>
  <c r="G86" i="15" s="1"/>
  <c r="H86" i="15" s="1"/>
  <c r="E87" i="15"/>
  <c r="G87" i="15" s="1"/>
  <c r="H87" i="15" s="1"/>
  <c r="E88" i="15"/>
  <c r="G88" i="15" s="1"/>
  <c r="H88" i="15" s="1"/>
  <c r="E89" i="15"/>
  <c r="G89" i="15" s="1"/>
  <c r="H89" i="15" s="1"/>
  <c r="E90" i="15"/>
  <c r="G90" i="15" s="1"/>
  <c r="H90" i="15" s="1"/>
  <c r="E91" i="15"/>
  <c r="G91" i="15" s="1"/>
  <c r="H91" i="15" s="1"/>
  <c r="E92" i="15"/>
  <c r="G92" i="15" s="1"/>
  <c r="H92" i="15" s="1"/>
  <c r="E93" i="15"/>
  <c r="G93" i="15" s="1"/>
  <c r="H93" i="15" s="1"/>
  <c r="E94" i="15"/>
  <c r="G94" i="15" s="1"/>
  <c r="H94" i="15" s="1"/>
  <c r="E95" i="15"/>
  <c r="G95" i="15" s="1"/>
  <c r="H95" i="15" s="1"/>
  <c r="E96" i="15"/>
  <c r="G96" i="15" s="1"/>
  <c r="H96" i="15" s="1"/>
  <c r="E97" i="15"/>
  <c r="G97" i="15" s="1"/>
  <c r="H97" i="15" s="1"/>
  <c r="E98" i="15"/>
  <c r="G98" i="15" s="1"/>
  <c r="H98" i="15" s="1"/>
  <c r="E99" i="15"/>
  <c r="G99" i="15" s="1"/>
  <c r="H99" i="15" s="1"/>
  <c r="E100" i="15"/>
  <c r="G100" i="15" s="1"/>
  <c r="H100" i="15" s="1"/>
  <c r="E101" i="15"/>
  <c r="G101" i="15" s="1"/>
  <c r="H101" i="15" s="1"/>
  <c r="E102" i="15"/>
  <c r="G102" i="15" s="1"/>
  <c r="H102" i="15" s="1"/>
  <c r="E103" i="15"/>
  <c r="G103" i="15" s="1"/>
  <c r="H103" i="15" s="1"/>
  <c r="E104" i="15"/>
  <c r="G104" i="15" s="1"/>
  <c r="H104" i="15" s="1"/>
  <c r="E105" i="15"/>
  <c r="G105" i="15" s="1"/>
  <c r="H105" i="15" s="1"/>
  <c r="E106" i="15"/>
  <c r="G106" i="15" s="1"/>
  <c r="H106" i="15" s="1"/>
  <c r="E107" i="15"/>
  <c r="G107" i="15" s="1"/>
  <c r="H107" i="15" s="1"/>
  <c r="E108" i="15"/>
  <c r="G108" i="15" s="1"/>
  <c r="H108" i="15" s="1"/>
  <c r="E109" i="15"/>
  <c r="G109" i="15" s="1"/>
  <c r="H109" i="15" s="1"/>
  <c r="E110" i="15"/>
  <c r="G110" i="15" s="1"/>
  <c r="H110" i="15" s="1"/>
  <c r="E111" i="15"/>
  <c r="G111" i="15" s="1"/>
  <c r="H111" i="15" s="1"/>
  <c r="E112" i="15"/>
  <c r="G112" i="15" s="1"/>
  <c r="H112" i="15" s="1"/>
  <c r="E113" i="15"/>
  <c r="G113" i="15" s="1"/>
  <c r="H113" i="15" s="1"/>
  <c r="E114" i="15"/>
  <c r="G114" i="15" s="1"/>
  <c r="H114" i="15" s="1"/>
  <c r="E115" i="15"/>
  <c r="G115" i="15" s="1"/>
  <c r="H115" i="15" s="1"/>
  <c r="E116" i="15"/>
  <c r="G116" i="15" s="1"/>
  <c r="H116" i="15" s="1"/>
  <c r="E117" i="15"/>
  <c r="G117" i="15" s="1"/>
  <c r="H117" i="15" s="1"/>
  <c r="E118" i="15"/>
  <c r="E119" i="15"/>
  <c r="G119" i="15" s="1"/>
  <c r="H119" i="15" s="1"/>
  <c r="E120" i="15"/>
  <c r="G120" i="15" s="1"/>
  <c r="H120" i="15" s="1"/>
  <c r="E121" i="15"/>
  <c r="G121" i="15" s="1"/>
  <c r="H121" i="15" s="1"/>
  <c r="E122" i="15"/>
  <c r="G122" i="15" s="1"/>
  <c r="H122" i="15" s="1"/>
  <c r="E123" i="15"/>
  <c r="G123" i="15" s="1"/>
  <c r="H123" i="15" s="1"/>
  <c r="E124" i="15"/>
  <c r="G124" i="15" s="1"/>
  <c r="H124" i="15" s="1"/>
  <c r="E125" i="15"/>
  <c r="G125" i="15" s="1"/>
  <c r="H125" i="15" s="1"/>
  <c r="E126" i="15"/>
  <c r="G126" i="15" s="1"/>
  <c r="H126" i="15" s="1"/>
  <c r="E127" i="15"/>
  <c r="G127" i="15" s="1"/>
  <c r="H127" i="15" s="1"/>
  <c r="E128" i="15"/>
  <c r="G128" i="15" s="1"/>
  <c r="H128" i="15" s="1"/>
  <c r="E129" i="15"/>
  <c r="E130" i="15"/>
  <c r="G130" i="15" s="1"/>
  <c r="H130" i="15" s="1"/>
  <c r="E131" i="15"/>
  <c r="G131" i="15" s="1"/>
  <c r="H131" i="15" s="1"/>
  <c r="E132" i="15"/>
  <c r="G132" i="15" s="1"/>
  <c r="H132" i="15" s="1"/>
  <c r="E133" i="15"/>
  <c r="G133" i="15" s="1"/>
  <c r="H133" i="15" s="1"/>
  <c r="E134" i="15"/>
  <c r="G134" i="15" s="1"/>
  <c r="H134" i="15" s="1"/>
  <c r="E135" i="15"/>
  <c r="G135" i="15" s="1"/>
  <c r="H135" i="15" s="1"/>
  <c r="E136" i="15"/>
  <c r="G136" i="15" s="1"/>
  <c r="H136" i="15" s="1"/>
  <c r="E137" i="15"/>
  <c r="G137" i="15" s="1"/>
  <c r="H137" i="15" s="1"/>
  <c r="E138" i="15"/>
  <c r="G138" i="15" s="1"/>
  <c r="H138" i="15" s="1"/>
  <c r="E139" i="15"/>
  <c r="G139" i="15" s="1"/>
  <c r="H139" i="15" s="1"/>
  <c r="E140" i="15"/>
  <c r="G140" i="15" s="1"/>
  <c r="H140" i="15" s="1"/>
  <c r="E141" i="15"/>
  <c r="G141" i="15" s="1"/>
  <c r="H141" i="15" s="1"/>
  <c r="E142" i="15"/>
  <c r="G142" i="15" s="1"/>
  <c r="H142" i="15" s="1"/>
  <c r="E143" i="15"/>
  <c r="G143" i="15" s="1"/>
  <c r="H143" i="15" s="1"/>
  <c r="E144" i="15"/>
  <c r="G144" i="15" s="1"/>
  <c r="H144" i="15" s="1"/>
  <c r="E145" i="15"/>
  <c r="G145" i="15" s="1"/>
  <c r="H145" i="15" s="1"/>
  <c r="E146" i="15"/>
  <c r="E147" i="15"/>
  <c r="G147" i="15" s="1"/>
  <c r="H147" i="15" s="1"/>
  <c r="E148" i="15"/>
  <c r="G148" i="15" s="1"/>
  <c r="H148" i="15" s="1"/>
  <c r="E149" i="15"/>
  <c r="G149" i="15" s="1"/>
  <c r="H149" i="15" s="1"/>
  <c r="E150" i="15"/>
  <c r="G150" i="15" s="1"/>
  <c r="H150" i="15" s="1"/>
  <c r="E151" i="15"/>
  <c r="G151" i="15" s="1"/>
  <c r="H151" i="15" s="1"/>
  <c r="E152" i="15"/>
  <c r="G152" i="15" s="1"/>
  <c r="H152" i="15" s="1"/>
  <c r="E153" i="15"/>
  <c r="G153" i="15" s="1"/>
  <c r="H153" i="15" s="1"/>
  <c r="E154" i="15"/>
  <c r="G154" i="15" s="1"/>
  <c r="H154" i="15" s="1"/>
  <c r="E155" i="15"/>
  <c r="G155" i="15" s="1"/>
  <c r="H155" i="15" s="1"/>
  <c r="E156" i="15"/>
  <c r="G156" i="15" s="1"/>
  <c r="H156" i="15" s="1"/>
  <c r="E157" i="15"/>
  <c r="G157" i="15" s="1"/>
  <c r="H157" i="15" s="1"/>
  <c r="E158" i="15"/>
  <c r="G158" i="15" s="1"/>
  <c r="H158" i="15" s="1"/>
  <c r="E159" i="15"/>
  <c r="G159" i="15" s="1"/>
  <c r="H159" i="15" s="1"/>
  <c r="E160" i="15"/>
  <c r="G160" i="15" s="1"/>
  <c r="H160" i="15" s="1"/>
  <c r="E161" i="15"/>
  <c r="E162" i="15"/>
  <c r="E163" i="15"/>
  <c r="G163" i="15" s="1"/>
  <c r="H163" i="15" s="1"/>
  <c r="E164" i="15"/>
  <c r="G164" i="15" s="1"/>
  <c r="H164" i="15" s="1"/>
  <c r="E165" i="15"/>
  <c r="G165" i="15" s="1"/>
  <c r="H165" i="15" s="1"/>
  <c r="E166" i="15"/>
  <c r="E167" i="15"/>
  <c r="G167" i="15" s="1"/>
  <c r="H167" i="15" s="1"/>
  <c r="E168" i="15"/>
  <c r="G168" i="15" s="1"/>
  <c r="H168" i="15" s="1"/>
  <c r="E169" i="15"/>
  <c r="E170" i="15"/>
  <c r="E171" i="15"/>
  <c r="G171" i="15" s="1"/>
  <c r="H171" i="15" s="1"/>
  <c r="E172" i="15"/>
  <c r="G172" i="15" s="1"/>
  <c r="H172" i="15" s="1"/>
  <c r="E173" i="15"/>
  <c r="G173" i="15" s="1"/>
  <c r="H173" i="15" s="1"/>
  <c r="E174" i="15"/>
  <c r="E175" i="15"/>
  <c r="G175" i="15" s="1"/>
  <c r="H175" i="15" s="1"/>
  <c r="E176" i="15"/>
  <c r="G176" i="15" s="1"/>
  <c r="H176" i="15" s="1"/>
  <c r="E177" i="15"/>
  <c r="E178" i="15"/>
  <c r="E179" i="15"/>
  <c r="G179" i="15" s="1"/>
  <c r="H179" i="15" s="1"/>
  <c r="E180" i="15"/>
  <c r="G180" i="15" s="1"/>
  <c r="H180" i="15" s="1"/>
  <c r="E181" i="15"/>
  <c r="G181" i="15" s="1"/>
  <c r="H181" i="15" s="1"/>
  <c r="E182" i="15"/>
  <c r="E183" i="15"/>
  <c r="G183" i="15" s="1"/>
  <c r="H183" i="15" s="1"/>
  <c r="E184" i="15"/>
  <c r="G184" i="15" s="1"/>
  <c r="H184" i="15" s="1"/>
  <c r="E10" i="15"/>
  <c r="H176" i="13"/>
  <c r="G10" i="15"/>
  <c r="H10" i="15" s="1"/>
  <c r="G5" i="15"/>
  <c r="H5" i="15" s="1"/>
  <c r="G176" i="13"/>
  <c r="K63" i="13"/>
  <c r="E6" i="15"/>
  <c r="G6" i="15" s="1"/>
  <c r="H6" i="15" s="1"/>
  <c r="E7" i="15"/>
  <c r="G7" i="15" s="1"/>
  <c r="H7" i="15" s="1"/>
  <c r="E8" i="15"/>
  <c r="G8" i="15" s="1"/>
  <c r="H8" i="15" s="1"/>
  <c r="E9" i="15"/>
  <c r="G9" i="15" s="1"/>
  <c r="H9" i="15" s="1"/>
  <c r="E5" i="15"/>
  <c r="C15" i="14"/>
  <c r="E14" i="14"/>
  <c r="D14" i="14"/>
  <c r="E12" i="14"/>
  <c r="D12" i="14"/>
  <c r="E11" i="14"/>
  <c r="D11" i="14"/>
  <c r="E10" i="14"/>
  <c r="D10" i="14"/>
  <c r="E9" i="14"/>
  <c r="D9" i="14"/>
  <c r="E8" i="14"/>
  <c r="D8" i="14"/>
  <c r="E7" i="14"/>
  <c r="D7" i="14"/>
  <c r="E6" i="14"/>
  <c r="D6" i="14"/>
  <c r="E5" i="14"/>
  <c r="D5" i="14"/>
  <c r="D15" i="14" l="1"/>
  <c r="D16" i="14" s="1"/>
  <c r="C16" i="14" s="1"/>
  <c r="E15" i="14"/>
  <c r="K8" i="13" l="1"/>
  <c r="K6" i="13"/>
  <c r="K5" i="13"/>
  <c r="K7" i="13"/>
  <c r="J8" i="13"/>
  <c r="K9" i="13"/>
  <c r="J160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64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4" i="13"/>
  <c r="H165" i="13"/>
  <c r="H181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5" i="13"/>
  <c r="H5" i="10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6" i="13"/>
  <c r="J66" i="13" s="1"/>
  <c r="G75" i="13"/>
  <c r="G77" i="13"/>
  <c r="G99" i="13"/>
  <c r="G100" i="13"/>
  <c r="G102" i="13"/>
  <c r="G105" i="13"/>
  <c r="G118" i="13"/>
  <c r="G119" i="13"/>
  <c r="G124" i="13"/>
  <c r="G128" i="13"/>
  <c r="G129" i="13"/>
  <c r="G138" i="13"/>
  <c r="G142" i="13"/>
  <c r="G145" i="13"/>
  <c r="G146" i="13"/>
  <c r="G147" i="13"/>
  <c r="G149" i="13"/>
  <c r="G150" i="13"/>
  <c r="G160" i="13"/>
  <c r="G164" i="13"/>
  <c r="J164" i="13" s="1"/>
  <c r="G165" i="13"/>
  <c r="J165" i="13" s="1"/>
  <c r="G172" i="13"/>
  <c r="J172" i="13" s="1"/>
  <c r="G174" i="13"/>
  <c r="J174" i="13" s="1"/>
  <c r="G181" i="13"/>
  <c r="J181" i="13" s="1"/>
  <c r="G183" i="13"/>
  <c r="J183" i="13" s="1"/>
  <c r="G185" i="13"/>
  <c r="J185" i="13" s="1"/>
  <c r="G186" i="13"/>
  <c r="J186" i="13" s="1"/>
  <c r="G5" i="13"/>
  <c r="G101" i="10"/>
  <c r="G100" i="10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G65" i="13" s="1"/>
  <c r="J65" i="13" s="1"/>
  <c r="E66" i="13"/>
  <c r="E67" i="13"/>
  <c r="G67" i="13" s="1"/>
  <c r="J67" i="13" s="1"/>
  <c r="E68" i="13"/>
  <c r="G68" i="13" s="1"/>
  <c r="J68" i="13" s="1"/>
  <c r="E69" i="13"/>
  <c r="G69" i="13" s="1"/>
  <c r="J69" i="13" s="1"/>
  <c r="E70" i="13"/>
  <c r="G70" i="13" s="1"/>
  <c r="E71" i="13"/>
  <c r="G71" i="13" s="1"/>
  <c r="E72" i="13"/>
  <c r="G72" i="13" s="1"/>
  <c r="E73" i="13"/>
  <c r="G73" i="13" s="1"/>
  <c r="E74" i="13"/>
  <c r="G74" i="13" s="1"/>
  <c r="E75" i="13"/>
  <c r="E76" i="13"/>
  <c r="G76" i="13" s="1"/>
  <c r="E77" i="13"/>
  <c r="E78" i="13"/>
  <c r="G78" i="13" s="1"/>
  <c r="E79" i="13"/>
  <c r="G79" i="13" s="1"/>
  <c r="E80" i="13"/>
  <c r="G80" i="13" s="1"/>
  <c r="E81" i="13"/>
  <c r="G81" i="13" s="1"/>
  <c r="E82" i="13"/>
  <c r="G82" i="13" s="1"/>
  <c r="E83" i="13"/>
  <c r="G83" i="13" s="1"/>
  <c r="E84" i="13"/>
  <c r="G84" i="13" s="1"/>
  <c r="E85" i="13"/>
  <c r="G85" i="13" s="1"/>
  <c r="E86" i="13"/>
  <c r="G86" i="13" s="1"/>
  <c r="E87" i="13"/>
  <c r="G87" i="13" s="1"/>
  <c r="E88" i="13"/>
  <c r="G88" i="13" s="1"/>
  <c r="E89" i="13"/>
  <c r="G89" i="13" s="1"/>
  <c r="E90" i="13"/>
  <c r="G90" i="13" s="1"/>
  <c r="E91" i="13"/>
  <c r="G91" i="13" s="1"/>
  <c r="E92" i="13"/>
  <c r="G92" i="13" s="1"/>
  <c r="E93" i="13"/>
  <c r="G93" i="13" s="1"/>
  <c r="E94" i="13"/>
  <c r="G94" i="13" s="1"/>
  <c r="E95" i="13"/>
  <c r="G95" i="13" s="1"/>
  <c r="E96" i="13"/>
  <c r="G96" i="13" s="1"/>
  <c r="E97" i="13"/>
  <c r="G97" i="13" s="1"/>
  <c r="E98" i="13"/>
  <c r="G98" i="13" s="1"/>
  <c r="E99" i="13"/>
  <c r="E100" i="13"/>
  <c r="E101" i="13"/>
  <c r="G101" i="13" s="1"/>
  <c r="E102" i="13"/>
  <c r="E103" i="13"/>
  <c r="G103" i="13" s="1"/>
  <c r="E104" i="13"/>
  <c r="G104" i="13" s="1"/>
  <c r="E105" i="13"/>
  <c r="E106" i="13"/>
  <c r="G106" i="13" s="1"/>
  <c r="E107" i="13"/>
  <c r="G107" i="13" s="1"/>
  <c r="E108" i="13"/>
  <c r="G108" i="13" s="1"/>
  <c r="E109" i="13"/>
  <c r="G109" i="13" s="1"/>
  <c r="E110" i="13"/>
  <c r="G110" i="13" s="1"/>
  <c r="E111" i="13"/>
  <c r="G111" i="13" s="1"/>
  <c r="E112" i="13"/>
  <c r="G112" i="13" s="1"/>
  <c r="E113" i="13"/>
  <c r="G113" i="13" s="1"/>
  <c r="E114" i="13"/>
  <c r="G114" i="13" s="1"/>
  <c r="E115" i="13"/>
  <c r="G115" i="13" s="1"/>
  <c r="E116" i="13"/>
  <c r="G116" i="13" s="1"/>
  <c r="E117" i="13"/>
  <c r="G117" i="13" s="1"/>
  <c r="E118" i="13"/>
  <c r="E119" i="13"/>
  <c r="E120" i="13"/>
  <c r="G120" i="13" s="1"/>
  <c r="E121" i="13"/>
  <c r="G121" i="13" s="1"/>
  <c r="E122" i="13"/>
  <c r="G122" i="13" s="1"/>
  <c r="E123" i="13"/>
  <c r="G123" i="13" s="1"/>
  <c r="E124" i="13"/>
  <c r="E125" i="13"/>
  <c r="G125" i="13" s="1"/>
  <c r="E126" i="13"/>
  <c r="G126" i="13" s="1"/>
  <c r="E127" i="13"/>
  <c r="G127" i="13" s="1"/>
  <c r="E128" i="13"/>
  <c r="E129" i="13"/>
  <c r="E130" i="13"/>
  <c r="G130" i="13" s="1"/>
  <c r="E131" i="13"/>
  <c r="G131" i="13" s="1"/>
  <c r="E132" i="13"/>
  <c r="G132" i="13" s="1"/>
  <c r="E133" i="13"/>
  <c r="G133" i="13" s="1"/>
  <c r="E134" i="13"/>
  <c r="G134" i="13" s="1"/>
  <c r="E135" i="13"/>
  <c r="G135" i="13" s="1"/>
  <c r="E136" i="13"/>
  <c r="G136" i="13" s="1"/>
  <c r="E137" i="13"/>
  <c r="G137" i="13" s="1"/>
  <c r="E138" i="13"/>
  <c r="E139" i="13"/>
  <c r="G139" i="13" s="1"/>
  <c r="E140" i="13"/>
  <c r="G140" i="13" s="1"/>
  <c r="E141" i="13"/>
  <c r="G141" i="13" s="1"/>
  <c r="E142" i="13"/>
  <c r="E143" i="13"/>
  <c r="G143" i="13" s="1"/>
  <c r="E144" i="13"/>
  <c r="G144" i="13" s="1"/>
  <c r="E145" i="13"/>
  <c r="E146" i="13"/>
  <c r="E147" i="13"/>
  <c r="E148" i="13"/>
  <c r="G148" i="13" s="1"/>
  <c r="E149" i="13"/>
  <c r="E150" i="13"/>
  <c r="E151" i="13"/>
  <c r="G151" i="13" s="1"/>
  <c r="E152" i="13"/>
  <c r="G152" i="13" s="1"/>
  <c r="E153" i="13"/>
  <c r="G153" i="13" s="1"/>
  <c r="E154" i="13"/>
  <c r="G154" i="13" s="1"/>
  <c r="E155" i="13"/>
  <c r="G155" i="13" s="1"/>
  <c r="J155" i="13" s="1"/>
  <c r="E156" i="13"/>
  <c r="G156" i="13" s="1"/>
  <c r="J156" i="13" s="1"/>
  <c r="E157" i="13"/>
  <c r="G157" i="13" s="1"/>
  <c r="J157" i="13" s="1"/>
  <c r="E158" i="13"/>
  <c r="G158" i="13" s="1"/>
  <c r="J158" i="13" s="1"/>
  <c r="E159" i="13"/>
  <c r="G159" i="13" s="1"/>
  <c r="J159" i="13" s="1"/>
  <c r="E160" i="13"/>
  <c r="E161" i="13"/>
  <c r="G161" i="13" s="1"/>
  <c r="J161" i="13" s="1"/>
  <c r="E162" i="13"/>
  <c r="H162" i="13" s="1"/>
  <c r="E163" i="13"/>
  <c r="H163" i="13" s="1"/>
  <c r="E164" i="13"/>
  <c r="E165" i="13"/>
  <c r="E166" i="13"/>
  <c r="H166" i="13" s="1"/>
  <c r="E167" i="13"/>
  <c r="H167" i="13" s="1"/>
  <c r="E168" i="13"/>
  <c r="G168" i="13" s="1"/>
  <c r="J168" i="13" s="1"/>
  <c r="E169" i="13"/>
  <c r="G169" i="13" s="1"/>
  <c r="J169" i="13" s="1"/>
  <c r="E170" i="13"/>
  <c r="H170" i="13" s="1"/>
  <c r="E171" i="13"/>
  <c r="G171" i="13" s="1"/>
  <c r="J171" i="13" s="1"/>
  <c r="E172" i="13"/>
  <c r="H172" i="13" s="1"/>
  <c r="E173" i="13"/>
  <c r="H173" i="13" s="1"/>
  <c r="E174" i="13"/>
  <c r="H174" i="13" s="1"/>
  <c r="E175" i="13"/>
  <c r="H175" i="13" s="1"/>
  <c r="E176" i="13"/>
  <c r="E177" i="13"/>
  <c r="H177" i="13" s="1"/>
  <c r="E178" i="13"/>
  <c r="H178" i="13" s="1"/>
  <c r="E179" i="13"/>
  <c r="H179" i="13" s="1"/>
  <c r="E180" i="13"/>
  <c r="H180" i="13" s="1"/>
  <c r="E181" i="13"/>
  <c r="E182" i="13"/>
  <c r="G182" i="13" s="1"/>
  <c r="J182" i="13" s="1"/>
  <c r="E183" i="13"/>
  <c r="H183" i="13" s="1"/>
  <c r="E184" i="13"/>
  <c r="H184" i="13" s="1"/>
  <c r="E185" i="13"/>
  <c r="H185" i="13" s="1"/>
  <c r="E186" i="13"/>
  <c r="H186" i="13" s="1"/>
  <c r="E187" i="13"/>
  <c r="G187" i="13" s="1"/>
  <c r="J187" i="13" s="1"/>
  <c r="E188" i="13"/>
  <c r="H188" i="13" s="1"/>
  <c r="E189" i="13"/>
  <c r="H189" i="13" s="1"/>
  <c r="E190" i="13"/>
  <c r="H190" i="13" s="1"/>
  <c r="E6" i="13"/>
  <c r="E7" i="13"/>
  <c r="E8" i="13"/>
  <c r="E9" i="13"/>
  <c r="E10" i="13"/>
  <c r="E11" i="13"/>
  <c r="E5" i="13"/>
  <c r="H187" i="13" l="1"/>
  <c r="G190" i="13"/>
  <c r="J190" i="13" s="1"/>
  <c r="G189" i="13"/>
  <c r="J189" i="13" s="1"/>
  <c r="G188" i="13"/>
  <c r="J188" i="13" s="1"/>
  <c r="G184" i="13"/>
  <c r="J184" i="13" s="1"/>
  <c r="G180" i="13"/>
  <c r="J180" i="13" s="1"/>
  <c r="H182" i="13"/>
  <c r="G179" i="13"/>
  <c r="J179" i="13" s="1"/>
  <c r="G175" i="13"/>
  <c r="J175" i="13" s="1"/>
  <c r="G173" i="13"/>
  <c r="J173" i="13" s="1"/>
  <c r="G178" i="13"/>
  <c r="J178" i="13" s="1"/>
  <c r="G177" i="13"/>
  <c r="J177" i="13" s="1"/>
  <c r="H171" i="13"/>
  <c r="G170" i="13"/>
  <c r="J170" i="13" s="1"/>
  <c r="G167" i="13"/>
  <c r="J167" i="13" s="1"/>
  <c r="H169" i="13"/>
  <c r="H168" i="13"/>
  <c r="G166" i="13"/>
  <c r="J166" i="13" s="1"/>
  <c r="G163" i="13"/>
  <c r="J163" i="13" s="1"/>
  <c r="G162" i="13"/>
  <c r="J162" i="13" s="1"/>
  <c r="H161" i="13"/>
  <c r="E107" i="10"/>
  <c r="G107" i="10" s="1"/>
  <c r="E108" i="10"/>
  <c r="G108" i="10" s="1"/>
  <c r="E109" i="10"/>
  <c r="H109" i="10" s="1"/>
  <c r="E110" i="10"/>
  <c r="H110" i="10" s="1"/>
  <c r="E111" i="10"/>
  <c r="G111" i="10" s="1"/>
  <c r="E112" i="10"/>
  <c r="H112" i="10" s="1"/>
  <c r="E113" i="10"/>
  <c r="H113" i="10" s="1"/>
  <c r="E114" i="10"/>
  <c r="H114" i="10" s="1"/>
  <c r="J191" i="10"/>
  <c r="G89" i="10"/>
  <c r="J89" i="10" s="1"/>
  <c r="G92" i="10"/>
  <c r="J92" i="10" s="1"/>
  <c r="G135" i="10"/>
  <c r="J135" i="10" s="1"/>
  <c r="G159" i="10"/>
  <c r="J159" i="10" s="1"/>
  <c r="E162" i="10"/>
  <c r="H162" i="10" s="1"/>
  <c r="E163" i="10"/>
  <c r="G163" i="10" s="1"/>
  <c r="J163" i="10" s="1"/>
  <c r="E164" i="10"/>
  <c r="G164" i="10" s="1"/>
  <c r="J164" i="10" s="1"/>
  <c r="E165" i="10"/>
  <c r="H165" i="10" s="1"/>
  <c r="E166" i="10"/>
  <c r="H166" i="10" s="1"/>
  <c r="E167" i="10"/>
  <c r="H167" i="10" s="1"/>
  <c r="E168" i="10"/>
  <c r="G168" i="10" s="1"/>
  <c r="J168" i="10" s="1"/>
  <c r="E169" i="10"/>
  <c r="G169" i="10" s="1"/>
  <c r="J169" i="10" s="1"/>
  <c r="E170" i="10"/>
  <c r="G170" i="10" s="1"/>
  <c r="J170" i="10" s="1"/>
  <c r="E171" i="10"/>
  <c r="G171" i="10" s="1"/>
  <c r="J171" i="10" s="1"/>
  <c r="E172" i="10"/>
  <c r="H172" i="10" s="1"/>
  <c r="E173" i="10"/>
  <c r="H173" i="10" s="1"/>
  <c r="E174" i="10"/>
  <c r="H174" i="10" s="1"/>
  <c r="E175" i="10"/>
  <c r="H175" i="10" s="1"/>
  <c r="E176" i="10"/>
  <c r="G176" i="10" s="1"/>
  <c r="J176" i="10" s="1"/>
  <c r="E177" i="10"/>
  <c r="G177" i="10" s="1"/>
  <c r="J177" i="10" s="1"/>
  <c r="E178" i="10"/>
  <c r="H178" i="10" s="1"/>
  <c r="E179" i="10"/>
  <c r="H179" i="10" s="1"/>
  <c r="E180" i="10"/>
  <c r="G180" i="10" s="1"/>
  <c r="J180" i="10" s="1"/>
  <c r="E181" i="10"/>
  <c r="H181" i="10" s="1"/>
  <c r="E182" i="10"/>
  <c r="H182" i="10" s="1"/>
  <c r="E183" i="10"/>
  <c r="H183" i="10" s="1"/>
  <c r="E184" i="10"/>
  <c r="G184" i="10" s="1"/>
  <c r="J184" i="10" s="1"/>
  <c r="E185" i="10"/>
  <c r="G185" i="10" s="1"/>
  <c r="J185" i="10" s="1"/>
  <c r="E186" i="10"/>
  <c r="G186" i="10" s="1"/>
  <c r="J186" i="10" s="1"/>
  <c r="E187" i="10"/>
  <c r="G187" i="10" s="1"/>
  <c r="J187" i="10" s="1"/>
  <c r="E188" i="10"/>
  <c r="H188" i="10" s="1"/>
  <c r="E189" i="10"/>
  <c r="H189" i="10" s="1"/>
  <c r="E190" i="10"/>
  <c r="H190" i="10" s="1"/>
  <c r="E89" i="10"/>
  <c r="E90" i="10"/>
  <c r="H90" i="10" s="1"/>
  <c r="E91" i="10"/>
  <c r="G91" i="10" s="1"/>
  <c r="J91" i="10" s="1"/>
  <c r="E92" i="10"/>
  <c r="H92" i="10" s="1"/>
  <c r="E93" i="10"/>
  <c r="G93" i="10" s="1"/>
  <c r="J93" i="10" s="1"/>
  <c r="E94" i="10"/>
  <c r="H94" i="10" s="1"/>
  <c r="E95" i="10"/>
  <c r="G95" i="10" s="1"/>
  <c r="J95" i="10" s="1"/>
  <c r="E96" i="10"/>
  <c r="H96" i="10" s="1"/>
  <c r="E97" i="10"/>
  <c r="G97" i="10" s="1"/>
  <c r="J97" i="10" s="1"/>
  <c r="E98" i="10"/>
  <c r="G98" i="10" s="1"/>
  <c r="J98" i="10" s="1"/>
  <c r="E99" i="10"/>
  <c r="G99" i="10" s="1"/>
  <c r="J99" i="10" s="1"/>
  <c r="E100" i="10"/>
  <c r="J100" i="10" s="1"/>
  <c r="E101" i="10"/>
  <c r="J101" i="10" s="1"/>
  <c r="E102" i="10"/>
  <c r="H102" i="10" s="1"/>
  <c r="E103" i="10"/>
  <c r="G103" i="10" s="1"/>
  <c r="J103" i="10" s="1"/>
  <c r="E104" i="10"/>
  <c r="H104" i="10" s="1"/>
  <c r="E105" i="10"/>
  <c r="G105" i="10" s="1"/>
  <c r="E106" i="10"/>
  <c r="E115" i="10"/>
  <c r="G115" i="10" s="1"/>
  <c r="J115" i="10" s="1"/>
  <c r="E116" i="10"/>
  <c r="G116" i="10" s="1"/>
  <c r="J116" i="10" s="1"/>
  <c r="E117" i="10"/>
  <c r="G117" i="10" s="1"/>
  <c r="J117" i="10" s="1"/>
  <c r="E118" i="10"/>
  <c r="H118" i="10" s="1"/>
  <c r="E119" i="10"/>
  <c r="G119" i="10" s="1"/>
  <c r="J119" i="10" s="1"/>
  <c r="E120" i="10"/>
  <c r="H120" i="10" s="1"/>
  <c r="E121" i="10"/>
  <c r="G121" i="10" s="1"/>
  <c r="J121" i="10" s="1"/>
  <c r="E122" i="10"/>
  <c r="H122" i="10" s="1"/>
  <c r="E123" i="10"/>
  <c r="G123" i="10" s="1"/>
  <c r="J123" i="10" s="1"/>
  <c r="E124" i="10"/>
  <c r="G124" i="10" s="1"/>
  <c r="J124" i="10" s="1"/>
  <c r="E125" i="10"/>
  <c r="H125" i="10" s="1"/>
  <c r="E126" i="10"/>
  <c r="H126" i="10" s="1"/>
  <c r="E127" i="10"/>
  <c r="G127" i="10" s="1"/>
  <c r="J127" i="10" s="1"/>
  <c r="E128" i="10"/>
  <c r="H128" i="10" s="1"/>
  <c r="E129" i="10"/>
  <c r="H129" i="10" s="1"/>
  <c r="E130" i="10"/>
  <c r="G130" i="10" s="1"/>
  <c r="J130" i="10" s="1"/>
  <c r="E131" i="10"/>
  <c r="G131" i="10" s="1"/>
  <c r="J131" i="10" s="1"/>
  <c r="E132" i="10"/>
  <c r="H132" i="10" s="1"/>
  <c r="E133" i="10"/>
  <c r="G133" i="10" s="1"/>
  <c r="J133" i="10" s="1"/>
  <c r="E134" i="10"/>
  <c r="H134" i="10" s="1"/>
  <c r="E135" i="10"/>
  <c r="E136" i="10"/>
  <c r="H136" i="10" s="1"/>
  <c r="E137" i="10"/>
  <c r="G137" i="10" s="1"/>
  <c r="J137" i="10" s="1"/>
  <c r="E138" i="10"/>
  <c r="G138" i="10" s="1"/>
  <c r="J138" i="10" s="1"/>
  <c r="E139" i="10"/>
  <c r="G139" i="10" s="1"/>
  <c r="J139" i="10" s="1"/>
  <c r="E140" i="10"/>
  <c r="G140" i="10" s="1"/>
  <c r="J140" i="10" s="1"/>
  <c r="E141" i="10"/>
  <c r="G141" i="10" s="1"/>
  <c r="J141" i="10" s="1"/>
  <c r="E142" i="10"/>
  <c r="H142" i="10" s="1"/>
  <c r="E143" i="10"/>
  <c r="G143" i="10" s="1"/>
  <c r="J143" i="10" s="1"/>
  <c r="E144" i="10"/>
  <c r="H144" i="10" s="1"/>
  <c r="E145" i="10"/>
  <c r="G145" i="10" s="1"/>
  <c r="J145" i="10" s="1"/>
  <c r="E146" i="10"/>
  <c r="G146" i="10" s="1"/>
  <c r="J146" i="10" s="1"/>
  <c r="E147" i="10"/>
  <c r="G147" i="10" s="1"/>
  <c r="J147" i="10" s="1"/>
  <c r="E148" i="10"/>
  <c r="G148" i="10" s="1"/>
  <c r="J148" i="10" s="1"/>
  <c r="E149" i="10"/>
  <c r="G149" i="10" s="1"/>
  <c r="J149" i="10" s="1"/>
  <c r="E150" i="10"/>
  <c r="H150" i="10" s="1"/>
  <c r="E151" i="10"/>
  <c r="H151" i="10" s="1"/>
  <c r="E152" i="10"/>
  <c r="H152" i="10" s="1"/>
  <c r="E153" i="10"/>
  <c r="H153" i="10" s="1"/>
  <c r="E154" i="10"/>
  <c r="G154" i="10" s="1"/>
  <c r="J154" i="10" s="1"/>
  <c r="E155" i="10"/>
  <c r="G155" i="10" s="1"/>
  <c r="J155" i="10" s="1"/>
  <c r="E156" i="10"/>
  <c r="G156" i="10" s="1"/>
  <c r="J156" i="10" s="1"/>
  <c r="E157" i="10"/>
  <c r="G157" i="10" s="1"/>
  <c r="J157" i="10" s="1"/>
  <c r="E158" i="10"/>
  <c r="H158" i="10" s="1"/>
  <c r="E159" i="10"/>
  <c r="E160" i="10"/>
  <c r="H160" i="10" s="1"/>
  <c r="E161" i="10"/>
  <c r="H161" i="10" s="1"/>
  <c r="E88" i="10"/>
  <c r="G88" i="10" s="1"/>
  <c r="J88" i="10" s="1"/>
  <c r="E87" i="10"/>
  <c r="H87" i="10" s="1"/>
  <c r="E86" i="10"/>
  <c r="G86" i="10" s="1"/>
  <c r="J86" i="10" s="1"/>
  <c r="E85" i="10"/>
  <c r="H85" i="10" s="1"/>
  <c r="E84" i="10"/>
  <c r="H84" i="10" s="1"/>
  <c r="E83" i="10"/>
  <c r="G83" i="10" s="1"/>
  <c r="J83" i="10" s="1"/>
  <c r="G80" i="10"/>
  <c r="J80" i="10" s="1"/>
  <c r="E82" i="10"/>
  <c r="G82" i="10" s="1"/>
  <c r="J82" i="10" s="1"/>
  <c r="E81" i="10"/>
  <c r="H81" i="10" s="1"/>
  <c r="E80" i="10"/>
  <c r="H80" i="10" s="1"/>
  <c r="E79" i="10"/>
  <c r="G79" i="10" s="1"/>
  <c r="J79" i="10" s="1"/>
  <c r="E78" i="10"/>
  <c r="G78" i="10" s="1"/>
  <c r="J78" i="10" s="1"/>
  <c r="E77" i="10"/>
  <c r="H77" i="10" s="1"/>
  <c r="H20" i="10"/>
  <c r="H21" i="10"/>
  <c r="H28" i="10"/>
  <c r="H29" i="10"/>
  <c r="H36" i="10"/>
  <c r="H37" i="10"/>
  <c r="H44" i="10"/>
  <c r="H45" i="10"/>
  <c r="H52" i="10"/>
  <c r="H53" i="10"/>
  <c r="H54" i="10"/>
  <c r="H56" i="10"/>
  <c r="H60" i="10"/>
  <c r="H61" i="10"/>
  <c r="H62" i="10"/>
  <c r="H64" i="10"/>
  <c r="H69" i="10"/>
  <c r="H73" i="10"/>
  <c r="H78" i="10"/>
  <c r="H82" i="10"/>
  <c r="H83" i="10"/>
  <c r="H86" i="10"/>
  <c r="H89" i="10"/>
  <c r="H91" i="10"/>
  <c r="H93" i="10"/>
  <c r="H95" i="10"/>
  <c r="H121" i="10"/>
  <c r="H124" i="10"/>
  <c r="H131" i="10"/>
  <c r="H135" i="10"/>
  <c r="H138" i="10"/>
  <c r="H146" i="10"/>
  <c r="H159" i="10"/>
  <c r="H177" i="10"/>
  <c r="H191" i="10"/>
  <c r="E76" i="10"/>
  <c r="H76" i="10" s="1"/>
  <c r="G76" i="10"/>
  <c r="J76" i="10" s="1"/>
  <c r="E75" i="10"/>
  <c r="G75" i="10" s="1"/>
  <c r="J75" i="10" s="1"/>
  <c r="E74" i="10"/>
  <c r="G74" i="10" s="1"/>
  <c r="J74" i="10" s="1"/>
  <c r="E73" i="10"/>
  <c r="G73" i="10" s="1"/>
  <c r="J73" i="10" s="1"/>
  <c r="E72" i="10"/>
  <c r="G72" i="10" s="1"/>
  <c r="J72" i="10" s="1"/>
  <c r="E71" i="10"/>
  <c r="G71" i="10" s="1"/>
  <c r="J71" i="10" s="1"/>
  <c r="G60" i="10"/>
  <c r="G52" i="10"/>
  <c r="J5" i="13"/>
  <c r="J6" i="13"/>
  <c r="J7" i="13"/>
  <c r="J9" i="13"/>
  <c r="J10" i="13"/>
  <c r="J11" i="13"/>
  <c r="K12" i="13" s="1"/>
  <c r="J12" i="13"/>
  <c r="J13" i="13"/>
  <c r="J14" i="13"/>
  <c r="J15" i="13"/>
  <c r="J16" i="13"/>
  <c r="J17" i="13"/>
  <c r="K18" i="13" s="1"/>
  <c r="J18" i="13"/>
  <c r="J19" i="13"/>
  <c r="K20" i="13" s="1"/>
  <c r="J20" i="13"/>
  <c r="K21" i="13" s="1"/>
  <c r="J21" i="13"/>
  <c r="K22" i="13" s="1"/>
  <c r="J22" i="13"/>
  <c r="K23" i="13" s="1"/>
  <c r="J23" i="13"/>
  <c r="K24" i="13" s="1"/>
  <c r="J24" i="13"/>
  <c r="J25" i="13"/>
  <c r="J26" i="13"/>
  <c r="J27" i="13"/>
  <c r="J28" i="13"/>
  <c r="J29" i="13"/>
  <c r="J30" i="13"/>
  <c r="J31" i="13"/>
  <c r="J32" i="13"/>
  <c r="K33" i="13" s="1"/>
  <c r="J33" i="13"/>
  <c r="J34" i="13"/>
  <c r="J35" i="13"/>
  <c r="K36" i="13" s="1"/>
  <c r="J36" i="13"/>
  <c r="J37" i="13"/>
  <c r="J38" i="13"/>
  <c r="K39" i="13" s="1"/>
  <c r="J39" i="13"/>
  <c r="J40" i="13"/>
  <c r="K41" i="13" s="1"/>
  <c r="J41" i="13"/>
  <c r="J42" i="13"/>
  <c r="J43" i="13"/>
  <c r="J44" i="13"/>
  <c r="K45" i="13" s="1"/>
  <c r="J45" i="13"/>
  <c r="K46" i="13" s="1"/>
  <c r="J46" i="13"/>
  <c r="K47" i="13" s="1"/>
  <c r="J47" i="13"/>
  <c r="J48" i="13"/>
  <c r="J49" i="13"/>
  <c r="J50" i="13"/>
  <c r="J51" i="13"/>
  <c r="K52" i="13" s="1"/>
  <c r="J52" i="13"/>
  <c r="J61" i="13"/>
  <c r="J63" i="13"/>
  <c r="J62" i="13"/>
  <c r="J57" i="13"/>
  <c r="J53" i="13"/>
  <c r="K54" i="13" s="1"/>
  <c r="E70" i="10"/>
  <c r="H70" i="10" s="1"/>
  <c r="E69" i="10"/>
  <c r="G69" i="10" s="1"/>
  <c r="E68" i="10"/>
  <c r="H68" i="10" s="1"/>
  <c r="E67" i="10"/>
  <c r="H67" i="10" s="1"/>
  <c r="E66" i="10"/>
  <c r="G66" i="10" s="1"/>
  <c r="E65" i="10"/>
  <c r="H65" i="10" s="1"/>
  <c r="E64" i="10"/>
  <c r="G64" i="10" s="1"/>
  <c r="E63" i="10"/>
  <c r="G63" i="10" s="1"/>
  <c r="E62" i="10"/>
  <c r="E61" i="10"/>
  <c r="G61" i="10" s="1"/>
  <c r="E60" i="10"/>
  <c r="E59" i="10"/>
  <c r="H59" i="10" s="1"/>
  <c r="E58" i="10"/>
  <c r="H58" i="10" s="1"/>
  <c r="E57" i="10"/>
  <c r="H57" i="10" s="1"/>
  <c r="E56" i="10"/>
  <c r="G56" i="10" s="1"/>
  <c r="E55" i="10"/>
  <c r="G55" i="10" s="1"/>
  <c r="E54" i="10"/>
  <c r="E53" i="10"/>
  <c r="E52" i="10"/>
  <c r="E51" i="10"/>
  <c r="H51" i="10" s="1"/>
  <c r="E50" i="10"/>
  <c r="H50" i="10" s="1"/>
  <c r="E49" i="10"/>
  <c r="H49" i="10" s="1"/>
  <c r="E48" i="10"/>
  <c r="H48" i="10" s="1"/>
  <c r="E47" i="10"/>
  <c r="G47" i="10" s="1"/>
  <c r="J47" i="10" s="1"/>
  <c r="E46" i="10"/>
  <c r="H46" i="10" s="1"/>
  <c r="E45" i="10"/>
  <c r="E44" i="10"/>
  <c r="E43" i="10"/>
  <c r="G43" i="10" s="1"/>
  <c r="J43" i="10" s="1"/>
  <c r="E42" i="10"/>
  <c r="H42" i="10" s="1"/>
  <c r="E41" i="10"/>
  <c r="H41" i="10" s="1"/>
  <c r="E40" i="10"/>
  <c r="G40" i="10" s="1"/>
  <c r="J40" i="10" s="1"/>
  <c r="E39" i="10"/>
  <c r="H39" i="10" s="1"/>
  <c r="E38" i="10"/>
  <c r="H38" i="10" s="1"/>
  <c r="E37" i="10"/>
  <c r="E36" i="10"/>
  <c r="E35" i="10"/>
  <c r="H35" i="10" s="1"/>
  <c r="E34" i="10"/>
  <c r="G34" i="10" s="1"/>
  <c r="J34" i="10" s="1"/>
  <c r="E33" i="10"/>
  <c r="H33" i="10" s="1"/>
  <c r="E32" i="10"/>
  <c r="H32" i="10" s="1"/>
  <c r="E31" i="10"/>
  <c r="H31" i="10" s="1"/>
  <c r="E30" i="10"/>
  <c r="H30" i="10" s="1"/>
  <c r="E29" i="10"/>
  <c r="G29" i="10" s="1"/>
  <c r="J29" i="10" s="1"/>
  <c r="E28" i="10"/>
  <c r="E27" i="10"/>
  <c r="G27" i="10" s="1"/>
  <c r="J27" i="10" s="1"/>
  <c r="E26" i="10"/>
  <c r="H26" i="10" s="1"/>
  <c r="E25" i="10"/>
  <c r="G25" i="10" s="1"/>
  <c r="J25" i="10" s="1"/>
  <c r="E24" i="10"/>
  <c r="H24" i="10" s="1"/>
  <c r="E23" i="10"/>
  <c r="H23" i="10" s="1"/>
  <c r="E22" i="10"/>
  <c r="H22" i="10" s="1"/>
  <c r="E21" i="10"/>
  <c r="E20" i="10"/>
  <c r="G20" i="10" s="1"/>
  <c r="J20" i="10" s="1"/>
  <c r="E19" i="10"/>
  <c r="G19" i="10" s="1"/>
  <c r="J19" i="10" s="1"/>
  <c r="E18" i="10"/>
  <c r="H18" i="10" s="1"/>
  <c r="E17" i="10"/>
  <c r="H17" i="10" s="1"/>
  <c r="E16" i="10"/>
  <c r="H16" i="10" s="1"/>
  <c r="E15" i="10"/>
  <c r="H15" i="10" s="1"/>
  <c r="E14" i="10"/>
  <c r="G14" i="10" s="1"/>
  <c r="J14" i="10" s="1"/>
  <c r="E13" i="10"/>
  <c r="G13" i="10" s="1"/>
  <c r="J13" i="10" s="1"/>
  <c r="E12" i="10"/>
  <c r="E11" i="10"/>
  <c r="H11" i="10" s="1"/>
  <c r="E10" i="10"/>
  <c r="G10" i="10" s="1"/>
  <c r="J10" i="10" s="1"/>
  <c r="E9" i="10"/>
  <c r="H9" i="10" s="1"/>
  <c r="E8" i="10"/>
  <c r="H8" i="10" s="1"/>
  <c r="E7" i="10"/>
  <c r="G7" i="10" s="1"/>
  <c r="J7" i="10" s="1"/>
  <c r="E6" i="10"/>
  <c r="E5" i="10"/>
  <c r="G5" i="10" s="1"/>
  <c r="J5" i="10" s="1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32" i="6"/>
  <c r="H128" i="6"/>
  <c r="H125" i="6"/>
  <c r="H104" i="6"/>
  <c r="G166" i="6"/>
  <c r="G174" i="6"/>
  <c r="G97" i="6"/>
  <c r="H97" i="6"/>
  <c r="G94" i="6"/>
  <c r="H94" i="6"/>
  <c r="G93" i="6"/>
  <c r="H93" i="6"/>
  <c r="E97" i="6"/>
  <c r="E98" i="6"/>
  <c r="G98" i="6" s="1"/>
  <c r="E99" i="6"/>
  <c r="H99" i="6" s="1"/>
  <c r="E100" i="6"/>
  <c r="G100" i="6" s="1"/>
  <c r="E101" i="6"/>
  <c r="H101" i="6" s="1"/>
  <c r="E102" i="6"/>
  <c r="H102" i="6" s="1"/>
  <c r="E103" i="6"/>
  <c r="G103" i="6" s="1"/>
  <c r="E104" i="6"/>
  <c r="G104" i="6" s="1"/>
  <c r="E105" i="6"/>
  <c r="G105" i="6" s="1"/>
  <c r="E106" i="6"/>
  <c r="G106" i="6" s="1"/>
  <c r="E107" i="6"/>
  <c r="G107" i="6" s="1"/>
  <c r="E108" i="6"/>
  <c r="H108" i="6" s="1"/>
  <c r="E109" i="6"/>
  <c r="H109" i="6" s="1"/>
  <c r="E110" i="6"/>
  <c r="H110" i="6" s="1"/>
  <c r="E111" i="6"/>
  <c r="H111" i="6" s="1"/>
  <c r="E112" i="6"/>
  <c r="H112" i="6" s="1"/>
  <c r="E113" i="6"/>
  <c r="H113" i="6" s="1"/>
  <c r="E114" i="6"/>
  <c r="G114" i="6" s="1"/>
  <c r="E115" i="6"/>
  <c r="G115" i="6" s="1"/>
  <c r="E116" i="6"/>
  <c r="G116" i="6" s="1"/>
  <c r="E117" i="6"/>
  <c r="G117" i="6" s="1"/>
  <c r="E118" i="6"/>
  <c r="G118" i="6" s="1"/>
  <c r="E119" i="6"/>
  <c r="G119" i="6" s="1"/>
  <c r="E120" i="6"/>
  <c r="G120" i="6" s="1"/>
  <c r="E121" i="6"/>
  <c r="G121" i="6" s="1"/>
  <c r="E122" i="6"/>
  <c r="G122" i="6" s="1"/>
  <c r="E123" i="6"/>
  <c r="G123" i="6" s="1"/>
  <c r="E124" i="6"/>
  <c r="G124" i="6" s="1"/>
  <c r="E125" i="6"/>
  <c r="G125" i="6" s="1"/>
  <c r="E126" i="6"/>
  <c r="G126" i="6" s="1"/>
  <c r="E127" i="6"/>
  <c r="G127" i="6" s="1"/>
  <c r="E128" i="6"/>
  <c r="G128" i="6" s="1"/>
  <c r="E129" i="6"/>
  <c r="H129" i="6" s="1"/>
  <c r="E130" i="6"/>
  <c r="G130" i="6" s="1"/>
  <c r="E131" i="6"/>
  <c r="G131" i="6" s="1"/>
  <c r="E132" i="6"/>
  <c r="G132" i="6" s="1"/>
  <c r="E133" i="6"/>
  <c r="G133" i="6" s="1"/>
  <c r="E134" i="6"/>
  <c r="G134" i="6" s="1"/>
  <c r="E135" i="6"/>
  <c r="G135" i="6" s="1"/>
  <c r="E136" i="6"/>
  <c r="G136" i="6" s="1"/>
  <c r="E137" i="6"/>
  <c r="G137" i="6" s="1"/>
  <c r="E138" i="6"/>
  <c r="G138" i="6" s="1"/>
  <c r="E139" i="6"/>
  <c r="G139" i="6" s="1"/>
  <c r="E140" i="6"/>
  <c r="G140" i="6" s="1"/>
  <c r="E141" i="6"/>
  <c r="G141" i="6" s="1"/>
  <c r="E142" i="6"/>
  <c r="G142" i="6" s="1"/>
  <c r="E143" i="6"/>
  <c r="G143" i="6" s="1"/>
  <c r="E144" i="6"/>
  <c r="G144" i="6" s="1"/>
  <c r="E145" i="6"/>
  <c r="G145" i="6" s="1"/>
  <c r="E146" i="6"/>
  <c r="G146" i="6" s="1"/>
  <c r="E147" i="6"/>
  <c r="G147" i="6" s="1"/>
  <c r="E148" i="6"/>
  <c r="G148" i="6" s="1"/>
  <c r="E149" i="6"/>
  <c r="G149" i="6" s="1"/>
  <c r="E150" i="6"/>
  <c r="G150" i="6" s="1"/>
  <c r="E151" i="6"/>
  <c r="G151" i="6" s="1"/>
  <c r="E152" i="6"/>
  <c r="G152" i="6" s="1"/>
  <c r="E153" i="6"/>
  <c r="G153" i="6" s="1"/>
  <c r="E154" i="6"/>
  <c r="G154" i="6" s="1"/>
  <c r="E155" i="6"/>
  <c r="G155" i="6" s="1"/>
  <c r="E156" i="6"/>
  <c r="G156" i="6" s="1"/>
  <c r="E157" i="6"/>
  <c r="G157" i="6" s="1"/>
  <c r="E158" i="6"/>
  <c r="G158" i="6" s="1"/>
  <c r="E159" i="6"/>
  <c r="G159" i="6" s="1"/>
  <c r="E160" i="6"/>
  <c r="G160" i="6" s="1"/>
  <c r="E161" i="6"/>
  <c r="G161" i="6" s="1"/>
  <c r="E162" i="6"/>
  <c r="G162" i="6" s="1"/>
  <c r="E163" i="6"/>
  <c r="G163" i="6" s="1"/>
  <c r="E164" i="6"/>
  <c r="G164" i="6" s="1"/>
  <c r="E165" i="6"/>
  <c r="G165" i="6" s="1"/>
  <c r="E166" i="6"/>
  <c r="E167" i="6"/>
  <c r="G167" i="6" s="1"/>
  <c r="E168" i="6"/>
  <c r="G168" i="6" s="1"/>
  <c r="E169" i="6"/>
  <c r="G169" i="6" s="1"/>
  <c r="E170" i="6"/>
  <c r="G170" i="6" s="1"/>
  <c r="E171" i="6"/>
  <c r="G171" i="6" s="1"/>
  <c r="E172" i="6"/>
  <c r="G172" i="6" s="1"/>
  <c r="E173" i="6"/>
  <c r="G173" i="6" s="1"/>
  <c r="E174" i="6"/>
  <c r="E175" i="6"/>
  <c r="G175" i="6" s="1"/>
  <c r="E176" i="6"/>
  <c r="G176" i="6" s="1"/>
  <c r="E177" i="6"/>
  <c r="G177" i="6" s="1"/>
  <c r="E178" i="6"/>
  <c r="G178" i="6" s="1"/>
  <c r="E179" i="6"/>
  <c r="G179" i="6" s="1"/>
  <c r="E180" i="6"/>
  <c r="G180" i="6" s="1"/>
  <c r="E181" i="6"/>
  <c r="G181" i="6" s="1"/>
  <c r="E182" i="6"/>
  <c r="G182" i="6" s="1"/>
  <c r="E96" i="6"/>
  <c r="G96" i="6" s="1"/>
  <c r="E95" i="6"/>
  <c r="H95" i="6" s="1"/>
  <c r="E94" i="6"/>
  <c r="E93" i="6"/>
  <c r="G91" i="6"/>
  <c r="H91" i="6"/>
  <c r="G90" i="6"/>
  <c r="H90" i="6"/>
  <c r="H88" i="6"/>
  <c r="G87" i="6"/>
  <c r="H87" i="6"/>
  <c r="E92" i="6"/>
  <c r="H92" i="6" s="1"/>
  <c r="E91" i="6"/>
  <c r="E90" i="6"/>
  <c r="E89" i="6"/>
  <c r="G89" i="6" s="1"/>
  <c r="E88" i="6"/>
  <c r="G88" i="6" s="1"/>
  <c r="E87" i="6"/>
  <c r="G86" i="6"/>
  <c r="H86" i="6"/>
  <c r="G85" i="6"/>
  <c r="H85" i="6"/>
  <c r="H84" i="6"/>
  <c r="H82" i="6"/>
  <c r="G81" i="6"/>
  <c r="E86" i="6"/>
  <c r="E85" i="6"/>
  <c r="E84" i="6"/>
  <c r="G84" i="6" s="1"/>
  <c r="E83" i="6"/>
  <c r="H83" i="6" s="1"/>
  <c r="E82" i="6"/>
  <c r="G82" i="6" s="1"/>
  <c r="E81" i="6"/>
  <c r="H81" i="6" s="1"/>
  <c r="G80" i="6"/>
  <c r="H80" i="6"/>
  <c r="E80" i="6"/>
  <c r="E79" i="6"/>
  <c r="G79" i="6" s="1"/>
  <c r="E78" i="6"/>
  <c r="H78" i="6" s="1"/>
  <c r="E77" i="6"/>
  <c r="G77" i="6" s="1"/>
  <c r="E76" i="6"/>
  <c r="H76" i="6" s="1"/>
  <c r="E75" i="6"/>
  <c r="G75" i="6" s="1"/>
  <c r="G71" i="6"/>
  <c r="H70" i="6"/>
  <c r="H69" i="6"/>
  <c r="E74" i="6"/>
  <c r="G74" i="6" s="1"/>
  <c r="E73" i="6"/>
  <c r="H73" i="6" s="1"/>
  <c r="E72" i="6"/>
  <c r="G72" i="6" s="1"/>
  <c r="E71" i="6"/>
  <c r="H71" i="6" s="1"/>
  <c r="E70" i="6"/>
  <c r="G70" i="6" s="1"/>
  <c r="E69" i="6"/>
  <c r="G69" i="6" s="1"/>
  <c r="K40" i="13" l="1"/>
  <c r="K35" i="13"/>
  <c r="K38" i="13"/>
  <c r="K37" i="13"/>
  <c r="K31" i="13"/>
  <c r="K34" i="13"/>
  <c r="K32" i="13"/>
  <c r="K30" i="13"/>
  <c r="K29" i="13"/>
  <c r="K25" i="13"/>
  <c r="K28" i="13"/>
  <c r="K27" i="13"/>
  <c r="K26" i="13"/>
  <c r="K19" i="13"/>
  <c r="K44" i="13"/>
  <c r="K42" i="13"/>
  <c r="K11" i="13"/>
  <c r="K17" i="13"/>
  <c r="K53" i="13"/>
  <c r="K10" i="13"/>
  <c r="K16" i="13"/>
  <c r="K15" i="13"/>
  <c r="K14" i="13"/>
  <c r="K13" i="13"/>
  <c r="K43" i="13"/>
  <c r="K51" i="13"/>
  <c r="K50" i="13"/>
  <c r="K49" i="13"/>
  <c r="K48" i="13"/>
  <c r="H185" i="10"/>
  <c r="H184" i="10"/>
  <c r="H180" i="10"/>
  <c r="H176" i="10"/>
  <c r="H47" i="10"/>
  <c r="H74" i="10"/>
  <c r="G57" i="10"/>
  <c r="G110" i="10"/>
  <c r="H43" i="10"/>
  <c r="H27" i="10"/>
  <c r="G109" i="10"/>
  <c r="J109" i="10" s="1"/>
  <c r="G68" i="10"/>
  <c r="J68" i="10" s="1"/>
  <c r="H34" i="10"/>
  <c r="G132" i="10"/>
  <c r="J132" i="10" s="1"/>
  <c r="G67" i="10"/>
  <c r="H149" i="10"/>
  <c r="H117" i="10"/>
  <c r="H66" i="10"/>
  <c r="H25" i="10"/>
  <c r="J106" i="10"/>
  <c r="G106" i="10"/>
  <c r="G112" i="10"/>
  <c r="G136" i="10"/>
  <c r="J136" i="10" s="1"/>
  <c r="G85" i="10"/>
  <c r="J85" i="10" s="1"/>
  <c r="H19" i="10"/>
  <c r="G188" i="10"/>
  <c r="J188" i="10" s="1"/>
  <c r="H147" i="10"/>
  <c r="H40" i="10"/>
  <c r="G77" i="10"/>
  <c r="J77" i="10" s="1"/>
  <c r="H111" i="10"/>
  <c r="H63" i="10"/>
  <c r="H55" i="10"/>
  <c r="G162" i="10"/>
  <c r="J162" i="10" s="1"/>
  <c r="G90" i="10"/>
  <c r="J90" i="10" s="1"/>
  <c r="H187" i="10"/>
  <c r="H186" i="10"/>
  <c r="H133" i="10"/>
  <c r="G178" i="10"/>
  <c r="J178" i="10" s="1"/>
  <c r="G179" i="10"/>
  <c r="J179" i="10" s="1"/>
  <c r="H157" i="10"/>
  <c r="G144" i="10"/>
  <c r="J144" i="10" s="1"/>
  <c r="G190" i="10"/>
  <c r="J190" i="10" s="1"/>
  <c r="G182" i="10"/>
  <c r="J182" i="10" s="1"/>
  <c r="G174" i="10"/>
  <c r="J174" i="10" s="1"/>
  <c r="G134" i="10"/>
  <c r="J134" i="10" s="1"/>
  <c r="G183" i="10"/>
  <c r="J183" i="10" s="1"/>
  <c r="G175" i="10"/>
  <c r="J175" i="10" s="1"/>
  <c r="H145" i="10"/>
  <c r="G189" i="10"/>
  <c r="J189" i="10" s="1"/>
  <c r="G181" i="10"/>
  <c r="J181" i="10" s="1"/>
  <c r="G173" i="10"/>
  <c r="J173" i="10" s="1"/>
  <c r="H171" i="10"/>
  <c r="H169" i="10"/>
  <c r="H168" i="10"/>
  <c r="G172" i="10"/>
  <c r="J172" i="10" s="1"/>
  <c r="G167" i="10"/>
  <c r="J167" i="10" s="1"/>
  <c r="H170" i="10"/>
  <c r="G161" i="10"/>
  <c r="J161" i="10" s="1"/>
  <c r="G166" i="10"/>
  <c r="J166" i="10" s="1"/>
  <c r="H164" i="10"/>
  <c r="H163" i="10"/>
  <c r="G165" i="10"/>
  <c r="J165" i="10" s="1"/>
  <c r="G158" i="10"/>
  <c r="J158" i="10" s="1"/>
  <c r="H156" i="10"/>
  <c r="H155" i="10"/>
  <c r="G160" i="10"/>
  <c r="J160" i="10" s="1"/>
  <c r="G151" i="10"/>
  <c r="J151" i="10" s="1"/>
  <c r="G150" i="10"/>
  <c r="J150" i="10" s="1"/>
  <c r="G153" i="10"/>
  <c r="J153" i="10" s="1"/>
  <c r="H154" i="10"/>
  <c r="G152" i="10"/>
  <c r="J152" i="10" s="1"/>
  <c r="H148" i="10"/>
  <c r="H143" i="10"/>
  <c r="G142" i="10"/>
  <c r="J142" i="10" s="1"/>
  <c r="H141" i="10"/>
  <c r="H140" i="10"/>
  <c r="H139" i="10"/>
  <c r="H137" i="10"/>
  <c r="G129" i="10"/>
  <c r="J129" i="10" s="1"/>
  <c r="H130" i="10"/>
  <c r="G128" i="10"/>
  <c r="J128" i="10" s="1"/>
  <c r="G125" i="10"/>
  <c r="J125" i="10" s="1"/>
  <c r="H123" i="10"/>
  <c r="G122" i="10"/>
  <c r="J122" i="10" s="1"/>
  <c r="G120" i="10"/>
  <c r="J120" i="10" s="1"/>
  <c r="H116" i="10"/>
  <c r="H115" i="10"/>
  <c r="G114" i="10"/>
  <c r="J114" i="10" s="1"/>
  <c r="G113" i="10"/>
  <c r="J113" i="10" s="1"/>
  <c r="J105" i="10"/>
  <c r="H107" i="10"/>
  <c r="J112" i="10"/>
  <c r="J111" i="10"/>
  <c r="J110" i="10"/>
  <c r="J108" i="10"/>
  <c r="J107" i="10"/>
  <c r="H88" i="10"/>
  <c r="G81" i="10"/>
  <c r="J81" i="10" s="1"/>
  <c r="G84" i="10"/>
  <c r="J84" i="10" s="1"/>
  <c r="H103" i="10"/>
  <c r="H75" i="10"/>
  <c r="H119" i="10"/>
  <c r="H72" i="10"/>
  <c r="G70" i="10"/>
  <c r="J70" i="10" s="1"/>
  <c r="H127" i="10"/>
  <c r="H71" i="10"/>
  <c r="G87" i="10"/>
  <c r="J87" i="10" s="1"/>
  <c r="H79" i="10"/>
  <c r="G126" i="10"/>
  <c r="J126" i="10" s="1"/>
  <c r="G118" i="10"/>
  <c r="J118" i="10" s="1"/>
  <c r="G94" i="10"/>
  <c r="J94" i="10" s="1"/>
  <c r="H108" i="10"/>
  <c r="H106" i="10"/>
  <c r="H105" i="10"/>
  <c r="G104" i="10"/>
  <c r="J104" i="10" s="1"/>
  <c r="G102" i="10"/>
  <c r="J102" i="10" s="1"/>
  <c r="H101" i="10"/>
  <c r="H100" i="10"/>
  <c r="H99" i="10"/>
  <c r="H98" i="10"/>
  <c r="H97" i="10"/>
  <c r="G96" i="10"/>
  <c r="J96" i="10" s="1"/>
  <c r="J59" i="10"/>
  <c r="K60" i="10" s="1"/>
  <c r="G59" i="10"/>
  <c r="G53" i="10"/>
  <c r="J52" i="10"/>
  <c r="G58" i="10"/>
  <c r="J61" i="10"/>
  <c r="G51" i="10"/>
  <c r="J51" i="10" s="1"/>
  <c r="K51" i="10" s="1"/>
  <c r="G62" i="10"/>
  <c r="J62" i="10" s="1"/>
  <c r="G54" i="10"/>
  <c r="J69" i="10"/>
  <c r="J67" i="10"/>
  <c r="G65" i="10"/>
  <c r="J65" i="10" s="1"/>
  <c r="K66" i="10" s="1"/>
  <c r="J55" i="10"/>
  <c r="J63" i="10"/>
  <c r="J56" i="10"/>
  <c r="K55" i="10" s="1"/>
  <c r="J64" i="10"/>
  <c r="K61" i="13"/>
  <c r="J59" i="13"/>
  <c r="K60" i="13" s="1"/>
  <c r="J55" i="13"/>
  <c r="J58" i="13"/>
  <c r="K57" i="13" s="1"/>
  <c r="J56" i="13"/>
  <c r="J57" i="10"/>
  <c r="G45" i="10"/>
  <c r="J45" i="10" s="1"/>
  <c r="G41" i="10"/>
  <c r="J41" i="10" s="1"/>
  <c r="K42" i="10" s="1"/>
  <c r="G35" i="10"/>
  <c r="J35" i="10" s="1"/>
  <c r="K36" i="10" s="1"/>
  <c r="K19" i="10"/>
  <c r="G21" i="10"/>
  <c r="J21" i="10" s="1"/>
  <c r="G15" i="10"/>
  <c r="J15" i="10" s="1"/>
  <c r="K13" i="10"/>
  <c r="H13" i="10"/>
  <c r="J58" i="10"/>
  <c r="J53" i="10"/>
  <c r="K54" i="10" s="1"/>
  <c r="G49" i="10"/>
  <c r="J49" i="10" s="1"/>
  <c r="G48" i="10"/>
  <c r="J48" i="10" s="1"/>
  <c r="K48" i="10" s="1"/>
  <c r="G50" i="10"/>
  <c r="J50" i="10" s="1"/>
  <c r="G42" i="10"/>
  <c r="G44" i="10"/>
  <c r="J44" i="10" s="1"/>
  <c r="K43" i="10" s="1"/>
  <c r="G46" i="10"/>
  <c r="J46" i="10" s="1"/>
  <c r="G37" i="10"/>
  <c r="J37" i="10" s="1"/>
  <c r="G39" i="10"/>
  <c r="J39" i="10" s="1"/>
  <c r="K39" i="10" s="1"/>
  <c r="G36" i="10"/>
  <c r="G38" i="10"/>
  <c r="J38" i="10" s="1"/>
  <c r="G31" i="10"/>
  <c r="J31" i="10" s="1"/>
  <c r="G33" i="10"/>
  <c r="J33" i="10" s="1"/>
  <c r="K33" i="10" s="1"/>
  <c r="G30" i="10"/>
  <c r="K30" i="10" s="1"/>
  <c r="G32" i="10"/>
  <c r="J32" i="10" s="1"/>
  <c r="G24" i="10"/>
  <c r="G26" i="10"/>
  <c r="J26" i="10" s="1"/>
  <c r="K25" i="10" s="1"/>
  <c r="G28" i="10"/>
  <c r="J28" i="10" s="1"/>
  <c r="K27" i="10" s="1"/>
  <c r="G23" i="10"/>
  <c r="J23" i="10" s="1"/>
  <c r="G22" i="10"/>
  <c r="J22" i="10" s="1"/>
  <c r="G18" i="10"/>
  <c r="G17" i="10"/>
  <c r="J17" i="10" s="1"/>
  <c r="K18" i="10" s="1"/>
  <c r="H14" i="10"/>
  <c r="G16" i="10"/>
  <c r="J16" i="10" s="1"/>
  <c r="G12" i="10"/>
  <c r="G11" i="10"/>
  <c r="J11" i="10" s="1"/>
  <c r="K12" i="10" s="1"/>
  <c r="H10" i="10"/>
  <c r="G8" i="10"/>
  <c r="J8" i="10" s="1"/>
  <c r="K7" i="10"/>
  <c r="H7" i="10"/>
  <c r="G6" i="10"/>
  <c r="K6" i="10" s="1"/>
  <c r="G9" i="10"/>
  <c r="J9" i="10" s="1"/>
  <c r="K9" i="10" s="1"/>
  <c r="G73" i="6"/>
  <c r="G78" i="6"/>
  <c r="G83" i="6"/>
  <c r="J83" i="6" s="1"/>
  <c r="G92" i="6"/>
  <c r="G95" i="6"/>
  <c r="H116" i="6"/>
  <c r="H136" i="6"/>
  <c r="G76" i="6"/>
  <c r="J76" i="6" s="1"/>
  <c r="H103" i="6"/>
  <c r="H100" i="6"/>
  <c r="H133" i="6"/>
  <c r="H74" i="6"/>
  <c r="H75" i="6"/>
  <c r="H79" i="6"/>
  <c r="H89" i="6"/>
  <c r="H96" i="6"/>
  <c r="H117" i="6"/>
  <c r="H140" i="6"/>
  <c r="H120" i="6"/>
  <c r="H141" i="6"/>
  <c r="H72" i="6"/>
  <c r="H77" i="6"/>
  <c r="H124" i="6"/>
  <c r="H144" i="6"/>
  <c r="H107" i="6"/>
  <c r="H115" i="6"/>
  <c r="H123" i="6"/>
  <c r="H139" i="6"/>
  <c r="G102" i="6"/>
  <c r="G101" i="6"/>
  <c r="J101" i="6" s="1"/>
  <c r="H118" i="6"/>
  <c r="H126" i="6"/>
  <c r="H134" i="6"/>
  <c r="H142" i="6"/>
  <c r="H119" i="6"/>
  <c r="H127" i="6"/>
  <c r="H135" i="6"/>
  <c r="H143" i="6"/>
  <c r="H131" i="6"/>
  <c r="H98" i="6"/>
  <c r="G99" i="6"/>
  <c r="G129" i="6"/>
  <c r="H121" i="6"/>
  <c r="H137" i="6"/>
  <c r="H145" i="6"/>
  <c r="G108" i="6"/>
  <c r="H114" i="6"/>
  <c r="H122" i="6"/>
  <c r="H130" i="6"/>
  <c r="H138" i="6"/>
  <c r="H146" i="6"/>
  <c r="G112" i="6"/>
  <c r="J112" i="6" s="1"/>
  <c r="G113" i="6"/>
  <c r="G111" i="6"/>
  <c r="J111" i="6" s="1"/>
  <c r="G110" i="6"/>
  <c r="J110" i="6" s="1"/>
  <c r="G109" i="6"/>
  <c r="J109" i="6" s="1"/>
  <c r="H106" i="6"/>
  <c r="H105" i="6"/>
  <c r="C13" i="9"/>
  <c r="E12" i="9"/>
  <c r="D12" i="9"/>
  <c r="E10" i="9"/>
  <c r="D10" i="9"/>
  <c r="E9" i="9"/>
  <c r="D9" i="9"/>
  <c r="E8" i="9"/>
  <c r="D8" i="9"/>
  <c r="E7" i="9"/>
  <c r="D7" i="9"/>
  <c r="E6" i="9"/>
  <c r="D6" i="9"/>
  <c r="E5" i="9"/>
  <c r="D5" i="9"/>
  <c r="E68" i="6"/>
  <c r="G68" i="6" s="1"/>
  <c r="J68" i="6" s="1"/>
  <c r="K67" i="6" s="1"/>
  <c r="E67" i="6"/>
  <c r="G67" i="6" s="1"/>
  <c r="J67" i="6" s="1"/>
  <c r="E66" i="6"/>
  <c r="G66" i="6" s="1"/>
  <c r="J66" i="6" s="1"/>
  <c r="E65" i="6"/>
  <c r="G65" i="6" s="1"/>
  <c r="J65" i="6" s="1"/>
  <c r="K65" i="6" s="1"/>
  <c r="E64" i="6"/>
  <c r="G64" i="6" s="1"/>
  <c r="J64" i="6" s="1"/>
  <c r="E63" i="6"/>
  <c r="G63" i="6" s="1"/>
  <c r="J63" i="6" s="1"/>
  <c r="K64" i="6" s="1"/>
  <c r="E62" i="6"/>
  <c r="G62" i="6" s="1"/>
  <c r="J62" i="6" s="1"/>
  <c r="E61" i="6"/>
  <c r="G61" i="6" s="1"/>
  <c r="J61" i="6" s="1"/>
  <c r="K61" i="6" s="1"/>
  <c r="E60" i="6"/>
  <c r="H60" i="6" s="1"/>
  <c r="E59" i="6"/>
  <c r="G59" i="6" s="1"/>
  <c r="J59" i="6" s="1"/>
  <c r="E58" i="6"/>
  <c r="G58" i="6" s="1"/>
  <c r="J58" i="6" s="1"/>
  <c r="E57" i="6"/>
  <c r="H57" i="6" s="1"/>
  <c r="E56" i="6"/>
  <c r="G56" i="6" s="1"/>
  <c r="J56" i="6" s="1"/>
  <c r="E55" i="6"/>
  <c r="H55" i="6" s="1"/>
  <c r="E54" i="6"/>
  <c r="H54" i="6" s="1"/>
  <c r="E53" i="6"/>
  <c r="G53" i="6" s="1"/>
  <c r="J53" i="6" s="1"/>
  <c r="E52" i="6"/>
  <c r="G52" i="6" s="1"/>
  <c r="J52" i="6" s="1"/>
  <c r="E51" i="6"/>
  <c r="G51" i="6" s="1"/>
  <c r="J51" i="6" s="1"/>
  <c r="E50" i="6"/>
  <c r="G50" i="6" s="1"/>
  <c r="J50" i="6" s="1"/>
  <c r="E49" i="6"/>
  <c r="G49" i="6" s="1"/>
  <c r="J49" i="6" s="1"/>
  <c r="K49" i="6" s="1"/>
  <c r="E48" i="6"/>
  <c r="G48" i="6" s="1"/>
  <c r="J48" i="6" s="1"/>
  <c r="E47" i="6"/>
  <c r="G47" i="6" s="1"/>
  <c r="J47" i="6" s="1"/>
  <c r="K47" i="6" s="1"/>
  <c r="E46" i="6"/>
  <c r="G46" i="6" s="1"/>
  <c r="J46" i="6" s="1"/>
  <c r="E45" i="6"/>
  <c r="H45" i="6" s="1"/>
  <c r="E44" i="6"/>
  <c r="G44" i="6" s="1"/>
  <c r="J44" i="6" s="1"/>
  <c r="E43" i="6"/>
  <c r="G43" i="6" s="1"/>
  <c r="J43" i="6" s="1"/>
  <c r="E42" i="6"/>
  <c r="G42" i="6" s="1"/>
  <c r="J42" i="6" s="1"/>
  <c r="E41" i="6"/>
  <c r="H41" i="6" s="1"/>
  <c r="E40" i="6"/>
  <c r="G40" i="6" s="1"/>
  <c r="J40" i="6" s="1"/>
  <c r="E39" i="6"/>
  <c r="G39" i="6" s="1"/>
  <c r="J39" i="6" s="1"/>
  <c r="E38" i="6"/>
  <c r="G38" i="6" s="1"/>
  <c r="J38" i="6" s="1"/>
  <c r="E37" i="6"/>
  <c r="G37" i="6" s="1"/>
  <c r="J37" i="6" s="1"/>
  <c r="K37" i="6" s="1"/>
  <c r="E36" i="6"/>
  <c r="H36" i="6" s="1"/>
  <c r="E35" i="6"/>
  <c r="H35" i="6" s="1"/>
  <c r="E34" i="6"/>
  <c r="G34" i="6" s="1"/>
  <c r="J34" i="6" s="1"/>
  <c r="E33" i="6"/>
  <c r="H33" i="6" s="1"/>
  <c r="G30" i="6"/>
  <c r="J30" i="6" s="1"/>
  <c r="K29" i="6" s="1"/>
  <c r="E32" i="6"/>
  <c r="G32" i="6" s="1"/>
  <c r="J32" i="6" s="1"/>
  <c r="E31" i="6"/>
  <c r="H31" i="6" s="1"/>
  <c r="E30" i="6"/>
  <c r="H30" i="6" s="1"/>
  <c r="E29" i="6"/>
  <c r="G29" i="6" s="1"/>
  <c r="J29" i="6" s="1"/>
  <c r="E28" i="6"/>
  <c r="G28" i="6" s="1"/>
  <c r="J28" i="6" s="1"/>
  <c r="E27" i="6"/>
  <c r="G27" i="6" s="1"/>
  <c r="J27" i="6" s="1"/>
  <c r="E26" i="6"/>
  <c r="G26" i="6" s="1"/>
  <c r="J26" i="6" s="1"/>
  <c r="E25" i="6"/>
  <c r="H25" i="6" s="1"/>
  <c r="E24" i="6"/>
  <c r="G24" i="6" s="1"/>
  <c r="J24" i="6" s="1"/>
  <c r="E23" i="6"/>
  <c r="H23" i="6" s="1"/>
  <c r="E22" i="6"/>
  <c r="H22" i="6" s="1"/>
  <c r="E21" i="6"/>
  <c r="H21" i="6" s="1"/>
  <c r="J69" i="6"/>
  <c r="J70" i="6"/>
  <c r="J71" i="6"/>
  <c r="J72" i="6"/>
  <c r="J73" i="6"/>
  <c r="J74" i="6"/>
  <c r="J75" i="6"/>
  <c r="J77" i="6"/>
  <c r="J78" i="6"/>
  <c r="J79" i="6"/>
  <c r="J80" i="6"/>
  <c r="J81" i="6"/>
  <c r="J82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2" i="6"/>
  <c r="J103" i="6"/>
  <c r="J104" i="6"/>
  <c r="J105" i="6"/>
  <c r="J106" i="6"/>
  <c r="J107" i="6"/>
  <c r="J108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4" i="5"/>
  <c r="I190" i="5"/>
  <c r="J190" i="5"/>
  <c r="K63" i="10" l="1"/>
  <c r="K15" i="10"/>
  <c r="K61" i="10"/>
  <c r="K69" i="10"/>
  <c r="K55" i="13"/>
  <c r="K67" i="10"/>
  <c r="K57" i="10"/>
  <c r="K45" i="10"/>
  <c r="K37" i="10"/>
  <c r="K24" i="10"/>
  <c r="K21" i="10"/>
  <c r="K49" i="10"/>
  <c r="K31" i="10"/>
  <c r="K43" i="6"/>
  <c r="D13" i="9"/>
  <c r="E13" i="9"/>
  <c r="H68" i="6"/>
  <c r="G21" i="6"/>
  <c r="J21" i="6" s="1"/>
  <c r="K28" i="6"/>
  <c r="G57" i="6"/>
  <c r="J57" i="6" s="1"/>
  <c r="K58" i="6" s="1"/>
  <c r="G45" i="6"/>
  <c r="J45" i="6" s="1"/>
  <c r="K46" i="6" s="1"/>
  <c r="G54" i="6"/>
  <c r="J54" i="6" s="1"/>
  <c r="K53" i="6" s="1"/>
  <c r="H40" i="6"/>
  <c r="K52" i="6"/>
  <c r="G25" i="6"/>
  <c r="J25" i="6" s="1"/>
  <c r="K25" i="6" s="1"/>
  <c r="K40" i="6"/>
  <c r="H27" i="6"/>
  <c r="G33" i="6"/>
  <c r="J33" i="6" s="1"/>
  <c r="K34" i="6" s="1"/>
  <c r="H44" i="6"/>
  <c r="H46" i="6"/>
  <c r="H49" i="6"/>
  <c r="H51" i="6"/>
  <c r="H50" i="6"/>
  <c r="H64" i="6"/>
  <c r="H65" i="6"/>
  <c r="G31" i="6"/>
  <c r="J31" i="6" s="1"/>
  <c r="K31" i="6" s="1"/>
  <c r="G36" i="6"/>
  <c r="J36" i="6" s="1"/>
  <c r="G41" i="6"/>
  <c r="J41" i="6" s="1"/>
  <c r="K41" i="6" s="1"/>
  <c r="G55" i="6"/>
  <c r="J55" i="6" s="1"/>
  <c r="K55" i="6" s="1"/>
  <c r="G60" i="6"/>
  <c r="J60" i="6" s="1"/>
  <c r="K59" i="6" s="1"/>
  <c r="G22" i="6"/>
  <c r="J22" i="6" s="1"/>
  <c r="H28" i="6"/>
  <c r="H32" i="6"/>
  <c r="H37" i="6"/>
  <c r="H42" i="6"/>
  <c r="H47" i="6"/>
  <c r="H52" i="6"/>
  <c r="H56" i="6"/>
  <c r="H61" i="6"/>
  <c r="H66" i="6"/>
  <c r="G35" i="6"/>
  <c r="J35" i="6" s="1"/>
  <c r="G23" i="6"/>
  <c r="J23" i="6" s="1"/>
  <c r="K23" i="6" s="1"/>
  <c r="H29" i="6"/>
  <c r="H34" i="6"/>
  <c r="H38" i="6"/>
  <c r="H39" i="6"/>
  <c r="H43" i="6"/>
  <c r="H48" i="6"/>
  <c r="H53" i="6"/>
  <c r="H58" i="6"/>
  <c r="H62" i="6"/>
  <c r="H63" i="6"/>
  <c r="H67" i="6"/>
  <c r="H59" i="6"/>
  <c r="H26" i="6"/>
  <c r="H24" i="6"/>
  <c r="E182" i="1"/>
  <c r="G192" i="1"/>
  <c r="C14" i="7"/>
  <c r="E13" i="7"/>
  <c r="D13" i="7"/>
  <c r="E11" i="7"/>
  <c r="D11" i="7"/>
  <c r="E10" i="7"/>
  <c r="D10" i="7"/>
  <c r="E9" i="7"/>
  <c r="D9" i="7"/>
  <c r="E8" i="7"/>
  <c r="D8" i="7"/>
  <c r="E7" i="7"/>
  <c r="D7" i="7"/>
  <c r="E6" i="7"/>
  <c r="D6" i="7"/>
  <c r="K22" i="6" l="1"/>
  <c r="K35" i="6"/>
  <c r="D14" i="7"/>
  <c r="E14" i="7"/>
  <c r="F190" i="5"/>
  <c r="E20" i="6" l="1"/>
  <c r="G20" i="6" s="1"/>
  <c r="J20" i="6" s="1"/>
  <c r="E19" i="6"/>
  <c r="G19" i="6" s="1"/>
  <c r="J19" i="6" s="1"/>
  <c r="K19" i="6" s="1"/>
  <c r="E18" i="6"/>
  <c r="G18" i="6" s="1"/>
  <c r="J18" i="6" s="1"/>
  <c r="E17" i="6"/>
  <c r="G17" i="6" s="1"/>
  <c r="J17" i="6" s="1"/>
  <c r="E16" i="6"/>
  <c r="G16" i="6" s="1"/>
  <c r="J16" i="6" s="1"/>
  <c r="E4" i="6"/>
  <c r="H4" i="6" s="1"/>
  <c r="E5" i="6"/>
  <c r="H5" i="6" s="1"/>
  <c r="E6" i="6"/>
  <c r="G6" i="6" s="1"/>
  <c r="J6" i="6" s="1"/>
  <c r="E7" i="6"/>
  <c r="H7" i="6" s="1"/>
  <c r="E8" i="6"/>
  <c r="H8" i="6" s="1"/>
  <c r="E9" i="6"/>
  <c r="H9" i="6" s="1"/>
  <c r="E10" i="6"/>
  <c r="H10" i="6" s="1"/>
  <c r="E11" i="6"/>
  <c r="H11" i="6" s="1"/>
  <c r="E12" i="6"/>
  <c r="G12" i="6" s="1"/>
  <c r="J12" i="6" s="1"/>
  <c r="E13" i="6"/>
  <c r="H13" i="6" s="1"/>
  <c r="E14" i="6"/>
  <c r="H14" i="6" s="1"/>
  <c r="E15" i="6"/>
  <c r="H15" i="6" s="1"/>
  <c r="E3" i="6"/>
  <c r="H3" i="6" s="1"/>
  <c r="E21" i="5"/>
  <c r="G21" i="5" s="1"/>
  <c r="E22" i="5"/>
  <c r="H22" i="5" s="1"/>
  <c r="E23" i="5"/>
  <c r="G23" i="5" s="1"/>
  <c r="E24" i="5"/>
  <c r="H24" i="5" s="1"/>
  <c r="E25" i="5"/>
  <c r="H25" i="5" s="1"/>
  <c r="E26" i="5"/>
  <c r="H26" i="5" s="1"/>
  <c r="E27" i="5"/>
  <c r="G27" i="5" s="1"/>
  <c r="E28" i="5"/>
  <c r="H28" i="5" s="1"/>
  <c r="E29" i="5"/>
  <c r="G29" i="5" s="1"/>
  <c r="E30" i="5"/>
  <c r="G30" i="5" s="1"/>
  <c r="E31" i="5"/>
  <c r="H31" i="5" s="1"/>
  <c r="E32" i="5"/>
  <c r="G32" i="5" s="1"/>
  <c r="E33" i="5"/>
  <c r="G33" i="5" s="1"/>
  <c r="E34" i="5"/>
  <c r="G34" i="5" s="1"/>
  <c r="J34" i="5" s="1"/>
  <c r="E35" i="5"/>
  <c r="G35" i="5" s="1"/>
  <c r="E36" i="5"/>
  <c r="G36" i="5" s="1"/>
  <c r="E37" i="5"/>
  <c r="G37" i="5" s="1"/>
  <c r="J37" i="5" s="1"/>
  <c r="E38" i="5"/>
  <c r="G38" i="5" s="1"/>
  <c r="E39" i="5"/>
  <c r="G39" i="5" s="1"/>
  <c r="E40" i="5"/>
  <c r="H40" i="5" s="1"/>
  <c r="E41" i="5"/>
  <c r="H41" i="5" s="1"/>
  <c r="E42" i="5"/>
  <c r="H42" i="5" s="1"/>
  <c r="E43" i="5"/>
  <c r="H43" i="5" s="1"/>
  <c r="E44" i="5"/>
  <c r="H44" i="5" s="1"/>
  <c r="E45" i="5"/>
  <c r="H45" i="5" s="1"/>
  <c r="E46" i="5"/>
  <c r="G46" i="5" s="1"/>
  <c r="J46" i="5" s="1"/>
  <c r="E47" i="5"/>
  <c r="H47" i="5" s="1"/>
  <c r="E48" i="5"/>
  <c r="H48" i="5" s="1"/>
  <c r="E49" i="5"/>
  <c r="H49" i="5" s="1"/>
  <c r="E50" i="5"/>
  <c r="G50" i="5" s="1"/>
  <c r="E51" i="5"/>
  <c r="H51" i="5" s="1"/>
  <c r="E52" i="5"/>
  <c r="G52" i="5" s="1"/>
  <c r="J52" i="5" s="1"/>
  <c r="E53" i="5"/>
  <c r="G53" i="5" s="1"/>
  <c r="E54" i="5"/>
  <c r="G54" i="5" s="1"/>
  <c r="E55" i="5"/>
  <c r="G55" i="5" s="1"/>
  <c r="J55" i="5" s="1"/>
  <c r="E56" i="5"/>
  <c r="G56" i="5" s="1"/>
  <c r="E57" i="5"/>
  <c r="G57" i="5" s="1"/>
  <c r="E58" i="5"/>
  <c r="G58" i="5" s="1"/>
  <c r="J58" i="5" s="1"/>
  <c r="E59" i="5"/>
  <c r="G59" i="5" s="1"/>
  <c r="E60" i="5"/>
  <c r="G60" i="5" s="1"/>
  <c r="E61" i="5"/>
  <c r="G61" i="5" s="1"/>
  <c r="J61" i="5" s="1"/>
  <c r="E62" i="5"/>
  <c r="H62" i="5" s="1"/>
  <c r="E63" i="5"/>
  <c r="G63" i="5" s="1"/>
  <c r="E64" i="5"/>
  <c r="G64" i="5" s="1"/>
  <c r="J64" i="5" s="1"/>
  <c r="E65" i="5"/>
  <c r="H65" i="5" s="1"/>
  <c r="E66" i="5"/>
  <c r="H66" i="5" s="1"/>
  <c r="E67" i="5"/>
  <c r="G67" i="5" s="1"/>
  <c r="J67" i="5" s="1"/>
  <c r="E68" i="5"/>
  <c r="G68" i="5" s="1"/>
  <c r="E69" i="5"/>
  <c r="G69" i="5" s="1"/>
  <c r="E70" i="5"/>
  <c r="G70" i="5" s="1"/>
  <c r="J70" i="5" s="1"/>
  <c r="E71" i="5"/>
  <c r="H71" i="5" s="1"/>
  <c r="E72" i="5"/>
  <c r="H72" i="5" s="1"/>
  <c r="E73" i="5"/>
  <c r="H73" i="5" s="1"/>
  <c r="E74" i="5"/>
  <c r="H74" i="5" s="1"/>
  <c r="E75" i="5"/>
  <c r="G75" i="5" s="1"/>
  <c r="E76" i="5"/>
  <c r="G76" i="5" s="1"/>
  <c r="J76" i="5" s="1"/>
  <c r="E77" i="5"/>
  <c r="G77" i="5" s="1"/>
  <c r="E78" i="5"/>
  <c r="G78" i="5" s="1"/>
  <c r="E79" i="5"/>
  <c r="G79" i="5" s="1"/>
  <c r="J79" i="5" s="1"/>
  <c r="E80" i="5"/>
  <c r="G80" i="5" s="1"/>
  <c r="E81" i="5"/>
  <c r="H81" i="5" s="1"/>
  <c r="E82" i="5"/>
  <c r="G82" i="5" s="1"/>
  <c r="J82" i="5" s="1"/>
  <c r="E83" i="5"/>
  <c r="G83" i="5" s="1"/>
  <c r="E84" i="5"/>
  <c r="G84" i="5" s="1"/>
  <c r="E85" i="5"/>
  <c r="G85" i="5" s="1"/>
  <c r="J85" i="5" s="1"/>
  <c r="E86" i="5"/>
  <c r="G86" i="5" s="1"/>
  <c r="E87" i="5"/>
  <c r="H87" i="5" s="1"/>
  <c r="E88" i="5"/>
  <c r="H88" i="5" s="1"/>
  <c r="E89" i="5"/>
  <c r="G89" i="5" s="1"/>
  <c r="E90" i="5"/>
  <c r="G90" i="5" s="1"/>
  <c r="E91" i="5"/>
  <c r="G91" i="5" s="1"/>
  <c r="J91" i="5" s="1"/>
  <c r="E92" i="5"/>
  <c r="H92" i="5" s="1"/>
  <c r="E93" i="5"/>
  <c r="G93" i="5" s="1"/>
  <c r="E94" i="5"/>
  <c r="G94" i="5" s="1"/>
  <c r="J94" i="5" s="1"/>
  <c r="E95" i="5"/>
  <c r="H95" i="5" s="1"/>
  <c r="E96" i="5"/>
  <c r="G96" i="5" s="1"/>
  <c r="E97" i="5"/>
  <c r="G97" i="5" s="1"/>
  <c r="J97" i="5" s="1"/>
  <c r="E98" i="5"/>
  <c r="G98" i="5" s="1"/>
  <c r="E99" i="5"/>
  <c r="G99" i="5" s="1"/>
  <c r="E100" i="5"/>
  <c r="G100" i="5" s="1"/>
  <c r="J100" i="5" s="1"/>
  <c r="E101" i="5"/>
  <c r="H101" i="5" s="1"/>
  <c r="E102" i="5"/>
  <c r="G102" i="5" s="1"/>
  <c r="E103" i="5"/>
  <c r="G103" i="5" s="1"/>
  <c r="J103" i="5" s="1"/>
  <c r="E104" i="5"/>
  <c r="G104" i="5" s="1"/>
  <c r="E105" i="5"/>
  <c r="H105" i="5" s="1"/>
  <c r="E106" i="5"/>
  <c r="G106" i="5" s="1"/>
  <c r="J106" i="5" s="1"/>
  <c r="E107" i="5"/>
  <c r="G107" i="5" s="1"/>
  <c r="E108" i="5"/>
  <c r="G108" i="5" s="1"/>
  <c r="E109" i="5"/>
  <c r="G109" i="5" s="1"/>
  <c r="J109" i="5" s="1"/>
  <c r="E110" i="5"/>
  <c r="G110" i="5" s="1"/>
  <c r="E111" i="5"/>
  <c r="G111" i="5" s="1"/>
  <c r="E112" i="5"/>
  <c r="G112" i="5" s="1"/>
  <c r="J112" i="5" s="1"/>
  <c r="E113" i="5"/>
  <c r="G113" i="5" s="1"/>
  <c r="E114" i="5"/>
  <c r="G114" i="5" s="1"/>
  <c r="E115" i="5"/>
  <c r="G115" i="5" s="1"/>
  <c r="J115" i="5" s="1"/>
  <c r="E116" i="5"/>
  <c r="G116" i="5" s="1"/>
  <c r="E117" i="5"/>
  <c r="G117" i="5" s="1"/>
  <c r="E118" i="5"/>
  <c r="G118" i="5" s="1"/>
  <c r="J118" i="5" s="1"/>
  <c r="E119" i="5"/>
  <c r="G119" i="5" s="1"/>
  <c r="E120" i="5"/>
  <c r="G120" i="5" s="1"/>
  <c r="E121" i="5"/>
  <c r="G121" i="5" s="1"/>
  <c r="J121" i="5" s="1"/>
  <c r="E122" i="5"/>
  <c r="G122" i="5" s="1"/>
  <c r="E123" i="5"/>
  <c r="G123" i="5" s="1"/>
  <c r="E124" i="5"/>
  <c r="G124" i="5" s="1"/>
  <c r="J124" i="5" s="1"/>
  <c r="E125" i="5"/>
  <c r="G125" i="5" s="1"/>
  <c r="E126" i="5"/>
  <c r="G126" i="5" s="1"/>
  <c r="E127" i="5"/>
  <c r="G127" i="5" s="1"/>
  <c r="J127" i="5" s="1"/>
  <c r="E128" i="5"/>
  <c r="G128" i="5" s="1"/>
  <c r="E129" i="5"/>
  <c r="G129" i="5" s="1"/>
  <c r="E130" i="5"/>
  <c r="G130" i="5" s="1"/>
  <c r="J130" i="5" s="1"/>
  <c r="E131" i="5"/>
  <c r="G131" i="5" s="1"/>
  <c r="E132" i="5"/>
  <c r="G132" i="5" s="1"/>
  <c r="E133" i="5"/>
  <c r="G133" i="5" s="1"/>
  <c r="J133" i="5" s="1"/>
  <c r="E134" i="5"/>
  <c r="G134" i="5" s="1"/>
  <c r="E135" i="5"/>
  <c r="G135" i="5" s="1"/>
  <c r="E136" i="5"/>
  <c r="G136" i="5" s="1"/>
  <c r="J136" i="5" s="1"/>
  <c r="E137" i="5"/>
  <c r="G137" i="5" s="1"/>
  <c r="E138" i="5"/>
  <c r="G138" i="5" s="1"/>
  <c r="E139" i="5"/>
  <c r="G139" i="5" s="1"/>
  <c r="J139" i="5" s="1"/>
  <c r="E140" i="5"/>
  <c r="G140" i="5" s="1"/>
  <c r="E141" i="5"/>
  <c r="G141" i="5" s="1"/>
  <c r="E142" i="5"/>
  <c r="G142" i="5" s="1"/>
  <c r="J142" i="5" s="1"/>
  <c r="E143" i="5"/>
  <c r="G143" i="5" s="1"/>
  <c r="E144" i="5"/>
  <c r="G144" i="5" s="1"/>
  <c r="E145" i="5"/>
  <c r="G145" i="5" s="1"/>
  <c r="J145" i="5" s="1"/>
  <c r="E146" i="5"/>
  <c r="G146" i="5" s="1"/>
  <c r="E147" i="5"/>
  <c r="G147" i="5" s="1"/>
  <c r="E148" i="5"/>
  <c r="G148" i="5" s="1"/>
  <c r="J148" i="5" s="1"/>
  <c r="E149" i="5"/>
  <c r="G149" i="5" s="1"/>
  <c r="E150" i="5"/>
  <c r="G150" i="5" s="1"/>
  <c r="E151" i="5"/>
  <c r="G151" i="5" s="1"/>
  <c r="J151" i="5" s="1"/>
  <c r="E152" i="5"/>
  <c r="G152" i="5" s="1"/>
  <c r="E153" i="5"/>
  <c r="G153" i="5" s="1"/>
  <c r="E154" i="5"/>
  <c r="G154" i="5" s="1"/>
  <c r="J154" i="5" s="1"/>
  <c r="E155" i="5"/>
  <c r="G155" i="5" s="1"/>
  <c r="E156" i="5"/>
  <c r="G156" i="5" s="1"/>
  <c r="E157" i="5"/>
  <c r="G157" i="5" s="1"/>
  <c r="J157" i="5" s="1"/>
  <c r="E158" i="5"/>
  <c r="G158" i="5" s="1"/>
  <c r="E159" i="5"/>
  <c r="G159" i="5" s="1"/>
  <c r="E160" i="5"/>
  <c r="G160" i="5" s="1"/>
  <c r="J160" i="5" s="1"/>
  <c r="E161" i="5"/>
  <c r="G161" i="5" s="1"/>
  <c r="E162" i="5"/>
  <c r="G162" i="5" s="1"/>
  <c r="E163" i="5"/>
  <c r="G163" i="5" s="1"/>
  <c r="J163" i="5" s="1"/>
  <c r="E164" i="5"/>
  <c r="G164" i="5" s="1"/>
  <c r="E165" i="5"/>
  <c r="G165" i="5" s="1"/>
  <c r="E166" i="5"/>
  <c r="G166" i="5" s="1"/>
  <c r="J166" i="5" s="1"/>
  <c r="E167" i="5"/>
  <c r="G167" i="5" s="1"/>
  <c r="E168" i="5"/>
  <c r="G168" i="5" s="1"/>
  <c r="E169" i="5"/>
  <c r="G169" i="5" s="1"/>
  <c r="J169" i="5" s="1"/>
  <c r="E170" i="5"/>
  <c r="G170" i="5" s="1"/>
  <c r="E171" i="5"/>
  <c r="G171" i="5" s="1"/>
  <c r="E172" i="5"/>
  <c r="H172" i="5" s="1"/>
  <c r="E173" i="5"/>
  <c r="G173" i="5" s="1"/>
  <c r="E174" i="5"/>
  <c r="H174" i="5" s="1"/>
  <c r="E175" i="5"/>
  <c r="H175" i="5" s="1"/>
  <c r="E176" i="5"/>
  <c r="H176" i="5" s="1"/>
  <c r="E177" i="5"/>
  <c r="G177" i="5" s="1"/>
  <c r="E178" i="5"/>
  <c r="G178" i="5" s="1"/>
  <c r="J178" i="5" s="1"/>
  <c r="E179" i="5"/>
  <c r="G179" i="5" s="1"/>
  <c r="E180" i="5"/>
  <c r="G180" i="5" s="1"/>
  <c r="E181" i="5"/>
  <c r="G181" i="5" s="1"/>
  <c r="J181" i="5" s="1"/>
  <c r="E182" i="5"/>
  <c r="G182" i="5" s="1"/>
  <c r="E183" i="5"/>
  <c r="G183" i="5" s="1"/>
  <c r="E184" i="5"/>
  <c r="G184" i="5" s="1"/>
  <c r="J184" i="5" s="1"/>
  <c r="E185" i="5"/>
  <c r="G185" i="5" s="1"/>
  <c r="E186" i="5"/>
  <c r="H186" i="5" s="1"/>
  <c r="E187" i="5"/>
  <c r="G187" i="5" s="1"/>
  <c r="J187" i="5" s="1"/>
  <c r="E188" i="5"/>
  <c r="G188" i="5" s="1"/>
  <c r="E4" i="5"/>
  <c r="E5" i="5"/>
  <c r="G5" i="5" s="1"/>
  <c r="E6" i="5"/>
  <c r="H6" i="5" s="1"/>
  <c r="E7" i="5"/>
  <c r="H7" i="5" s="1"/>
  <c r="E8" i="5"/>
  <c r="G8" i="5" s="1"/>
  <c r="E9" i="5"/>
  <c r="G9" i="5" s="1"/>
  <c r="E10" i="5"/>
  <c r="G10" i="5" s="1"/>
  <c r="J10" i="5" s="1"/>
  <c r="E11" i="5"/>
  <c r="G11" i="5" s="1"/>
  <c r="E12" i="5"/>
  <c r="G12" i="5" s="1"/>
  <c r="E13" i="5"/>
  <c r="G13" i="5" s="1"/>
  <c r="J13" i="5" s="1"/>
  <c r="E14" i="5"/>
  <c r="G14" i="5" s="1"/>
  <c r="E15" i="5"/>
  <c r="G15" i="5" s="1"/>
  <c r="E16" i="5"/>
  <c r="G16" i="5" s="1"/>
  <c r="J16" i="5" s="1"/>
  <c r="E17" i="5"/>
  <c r="H17" i="5" s="1"/>
  <c r="E18" i="5"/>
  <c r="H18" i="5" s="1"/>
  <c r="E19" i="5"/>
  <c r="H19" i="5" s="1"/>
  <c r="E20" i="5"/>
  <c r="H20" i="5" s="1"/>
  <c r="E3" i="5"/>
  <c r="H3" i="5" s="1"/>
  <c r="G6" i="5"/>
  <c r="H158" i="4"/>
  <c r="G158" i="4"/>
  <c r="D128" i="4"/>
  <c r="E128" i="4" s="1"/>
  <c r="D127" i="4"/>
  <c r="C127" i="4"/>
  <c r="E127" i="4" s="1"/>
  <c r="D121" i="4"/>
  <c r="C121" i="4"/>
  <c r="D115" i="4"/>
  <c r="C115" i="4"/>
  <c r="D109" i="4"/>
  <c r="C109" i="4"/>
  <c r="E109" i="4" s="1"/>
  <c r="H109" i="4" s="1"/>
  <c r="D103" i="4"/>
  <c r="C103" i="4"/>
  <c r="E103" i="4" s="1"/>
  <c r="G103" i="4" s="1"/>
  <c r="D97" i="4"/>
  <c r="C97" i="4"/>
  <c r="D91" i="4"/>
  <c r="C91" i="4"/>
  <c r="E91" i="4" s="1"/>
  <c r="G91" i="4" s="1"/>
  <c r="D86" i="4"/>
  <c r="E86" i="4" s="1"/>
  <c r="H86" i="4" s="1"/>
  <c r="D85" i="4"/>
  <c r="C86" i="4"/>
  <c r="C85" i="4"/>
  <c r="E85" i="4" s="1"/>
  <c r="D79" i="4"/>
  <c r="E79" i="4" s="1"/>
  <c r="C79" i="4"/>
  <c r="D73" i="4"/>
  <c r="C73" i="4"/>
  <c r="E73" i="4" s="1"/>
  <c r="D67" i="4"/>
  <c r="C67" i="4"/>
  <c r="D61" i="4"/>
  <c r="C61" i="4"/>
  <c r="D55" i="4"/>
  <c r="C55" i="4"/>
  <c r="E49" i="4"/>
  <c r="G49" i="4" s="1"/>
  <c r="E50" i="4"/>
  <c r="H50" i="4" s="1"/>
  <c r="E51" i="4"/>
  <c r="G51" i="4" s="1"/>
  <c r="E52" i="4"/>
  <c r="H52" i="4" s="1"/>
  <c r="E53" i="4"/>
  <c r="H53" i="4" s="1"/>
  <c r="E54" i="4"/>
  <c r="H54" i="4" s="1"/>
  <c r="E56" i="4"/>
  <c r="H56" i="4" s="1"/>
  <c r="E57" i="4"/>
  <c r="G57" i="4" s="1"/>
  <c r="E58" i="4"/>
  <c r="H58" i="4" s="1"/>
  <c r="E59" i="4"/>
  <c r="G59" i="4" s="1"/>
  <c r="E60" i="4"/>
  <c r="H60" i="4" s="1"/>
  <c r="E61" i="4"/>
  <c r="H61" i="4" s="1"/>
  <c r="E62" i="4"/>
  <c r="H62" i="4" s="1"/>
  <c r="E63" i="4"/>
  <c r="G63" i="4" s="1"/>
  <c r="E64" i="4"/>
  <c r="H64" i="4" s="1"/>
  <c r="E65" i="4"/>
  <c r="H65" i="4" s="1"/>
  <c r="E66" i="4"/>
  <c r="H66" i="4" s="1"/>
  <c r="E67" i="4"/>
  <c r="G67" i="4" s="1"/>
  <c r="E68" i="4"/>
  <c r="H68" i="4" s="1"/>
  <c r="E69" i="4"/>
  <c r="H69" i="4" s="1"/>
  <c r="E70" i="4"/>
  <c r="H70" i="4" s="1"/>
  <c r="E71" i="4"/>
  <c r="G71" i="4" s="1"/>
  <c r="E72" i="4"/>
  <c r="G72" i="4" s="1"/>
  <c r="E74" i="4"/>
  <c r="H74" i="4" s="1"/>
  <c r="E75" i="4"/>
  <c r="G75" i="4" s="1"/>
  <c r="E76" i="4"/>
  <c r="H76" i="4" s="1"/>
  <c r="E77" i="4"/>
  <c r="H77" i="4" s="1"/>
  <c r="E78" i="4"/>
  <c r="H78" i="4" s="1"/>
  <c r="E80" i="4"/>
  <c r="H80" i="4" s="1"/>
  <c r="E81" i="4"/>
  <c r="G81" i="4" s="1"/>
  <c r="E82" i="4"/>
  <c r="H82" i="4" s="1"/>
  <c r="E83" i="4"/>
  <c r="G83" i="4" s="1"/>
  <c r="E84" i="4"/>
  <c r="H84" i="4" s="1"/>
  <c r="E87" i="4"/>
  <c r="G87" i="4" s="1"/>
  <c r="E88" i="4"/>
  <c r="E89" i="4"/>
  <c r="G89" i="4" s="1"/>
  <c r="E90" i="4"/>
  <c r="H90" i="4" s="1"/>
  <c r="E92" i="4"/>
  <c r="H92" i="4" s="1"/>
  <c r="E93" i="4"/>
  <c r="H93" i="4" s="1"/>
  <c r="E94" i="4"/>
  <c r="G94" i="4" s="1"/>
  <c r="E95" i="4"/>
  <c r="G95" i="4" s="1"/>
  <c r="E96" i="4"/>
  <c r="G96" i="4" s="1"/>
  <c r="E98" i="4"/>
  <c r="H98" i="4" s="1"/>
  <c r="E99" i="4"/>
  <c r="G99" i="4" s="1"/>
  <c r="E100" i="4"/>
  <c r="H100" i="4" s="1"/>
  <c r="E101" i="4"/>
  <c r="H101" i="4" s="1"/>
  <c r="E102" i="4"/>
  <c r="H102" i="4" s="1"/>
  <c r="E104" i="4"/>
  <c r="H104" i="4" s="1"/>
  <c r="E105" i="4"/>
  <c r="E106" i="4"/>
  <c r="H106" i="4" s="1"/>
  <c r="E107" i="4"/>
  <c r="G107" i="4" s="1"/>
  <c r="E108" i="4"/>
  <c r="H108" i="4" s="1"/>
  <c r="E110" i="4"/>
  <c r="G110" i="4" s="1"/>
  <c r="E111" i="4"/>
  <c r="E112" i="4"/>
  <c r="H112" i="4" s="1"/>
  <c r="E113" i="4"/>
  <c r="G113" i="4" s="1"/>
  <c r="E114" i="4"/>
  <c r="H114" i="4" s="1"/>
  <c r="E116" i="4"/>
  <c r="H116" i="4" s="1"/>
  <c r="E117" i="4"/>
  <c r="H117" i="4" s="1"/>
  <c r="E118" i="4"/>
  <c r="G118" i="4" s="1"/>
  <c r="E119" i="4"/>
  <c r="H119" i="4" s="1"/>
  <c r="E120" i="4"/>
  <c r="H120" i="4" s="1"/>
  <c r="E121" i="4"/>
  <c r="H121" i="4" s="1"/>
  <c r="E122" i="4"/>
  <c r="H122" i="4" s="1"/>
  <c r="E123" i="4"/>
  <c r="G123" i="4" s="1"/>
  <c r="E124" i="4"/>
  <c r="H124" i="4" s="1"/>
  <c r="E125" i="4"/>
  <c r="H125" i="4" s="1"/>
  <c r="E126" i="4"/>
  <c r="H126" i="4" s="1"/>
  <c r="E129" i="4"/>
  <c r="G129" i="4" s="1"/>
  <c r="E130" i="4"/>
  <c r="H130" i="4" s="1"/>
  <c r="E131" i="4"/>
  <c r="G131" i="4" s="1"/>
  <c r="E132" i="4"/>
  <c r="H132" i="4" s="1"/>
  <c r="E133" i="4"/>
  <c r="H133" i="4" s="1"/>
  <c r="E134" i="4"/>
  <c r="G134" i="4" s="1"/>
  <c r="E135" i="4"/>
  <c r="G135" i="4" s="1"/>
  <c r="E136" i="4"/>
  <c r="G136" i="4" s="1"/>
  <c r="E137" i="4"/>
  <c r="G137" i="4" s="1"/>
  <c r="E138" i="4"/>
  <c r="H138" i="4" s="1"/>
  <c r="E139" i="4"/>
  <c r="G139" i="4" s="1"/>
  <c r="E140" i="4"/>
  <c r="H140" i="4" s="1"/>
  <c r="E141" i="4"/>
  <c r="H141" i="4" s="1"/>
  <c r="E142" i="4"/>
  <c r="H142" i="4" s="1"/>
  <c r="E143" i="4"/>
  <c r="H143" i="4" s="1"/>
  <c r="E144" i="4"/>
  <c r="G144" i="4" s="1"/>
  <c r="E145" i="4"/>
  <c r="G145" i="4" s="1"/>
  <c r="E146" i="4"/>
  <c r="H146" i="4" s="1"/>
  <c r="E147" i="4"/>
  <c r="G147" i="4" s="1"/>
  <c r="E148" i="4"/>
  <c r="H148" i="4" s="1"/>
  <c r="E149" i="4"/>
  <c r="H149" i="4" s="1"/>
  <c r="E150" i="4"/>
  <c r="H150" i="4" s="1"/>
  <c r="E151" i="4"/>
  <c r="H151" i="4" s="1"/>
  <c r="E152" i="4"/>
  <c r="H152" i="4" s="1"/>
  <c r="E153" i="4"/>
  <c r="H153" i="4" s="1"/>
  <c r="E154" i="4"/>
  <c r="H154" i="4" s="1"/>
  <c r="E155" i="4"/>
  <c r="G155" i="4" s="1"/>
  <c r="E156" i="4"/>
  <c r="H156" i="4" s="1"/>
  <c r="E157" i="4"/>
  <c r="H157" i="4" s="1"/>
  <c r="E158" i="4"/>
  <c r="E159" i="4"/>
  <c r="H159" i="4" s="1"/>
  <c r="E160" i="4"/>
  <c r="H160" i="4" s="1"/>
  <c r="E161" i="4"/>
  <c r="H161" i="4" s="1"/>
  <c r="E162" i="4"/>
  <c r="H162" i="4" s="1"/>
  <c r="E163" i="4"/>
  <c r="G163" i="4" s="1"/>
  <c r="E164" i="4"/>
  <c r="H164" i="4" s="1"/>
  <c r="E165" i="4"/>
  <c r="H165" i="4" s="1"/>
  <c r="E166" i="4"/>
  <c r="G166" i="4" s="1"/>
  <c r="E167" i="4"/>
  <c r="H167" i="4" s="1"/>
  <c r="E168" i="4"/>
  <c r="H168" i="4" s="1"/>
  <c r="E169" i="4"/>
  <c r="H169" i="4" s="1"/>
  <c r="E170" i="4"/>
  <c r="H170" i="4" s="1"/>
  <c r="E171" i="4"/>
  <c r="G171" i="4" s="1"/>
  <c r="E172" i="4"/>
  <c r="H172" i="4" s="1"/>
  <c r="E173" i="4"/>
  <c r="H173" i="4" s="1"/>
  <c r="E174" i="4"/>
  <c r="G174" i="4" s="1"/>
  <c r="E175" i="4"/>
  <c r="H175" i="4" s="1"/>
  <c r="E176" i="4"/>
  <c r="H176" i="4" s="1"/>
  <c r="E177" i="4"/>
  <c r="G177" i="4" s="1"/>
  <c r="E178" i="4"/>
  <c r="H178" i="4" s="1"/>
  <c r="E179" i="4"/>
  <c r="G179" i="4" s="1"/>
  <c r="E180" i="4"/>
  <c r="H180" i="4" s="1"/>
  <c r="E181" i="4"/>
  <c r="H181" i="4" s="1"/>
  <c r="E182" i="4"/>
  <c r="H182" i="4" s="1"/>
  <c r="D49" i="4"/>
  <c r="E48" i="4"/>
  <c r="H48" i="4" s="1"/>
  <c r="E47" i="4"/>
  <c r="G47" i="4" s="1"/>
  <c r="E46" i="4"/>
  <c r="E45" i="4"/>
  <c r="C49" i="4"/>
  <c r="E44" i="4"/>
  <c r="H44" i="4" s="1"/>
  <c r="E43" i="4"/>
  <c r="G43" i="4" s="1"/>
  <c r="E42" i="4"/>
  <c r="H42" i="4" s="1"/>
  <c r="E41" i="4"/>
  <c r="E40" i="4"/>
  <c r="G40" i="4" s="1"/>
  <c r="E39" i="4"/>
  <c r="H39" i="4" s="1"/>
  <c r="E38" i="4"/>
  <c r="H38" i="4" s="1"/>
  <c r="E37" i="4"/>
  <c r="H37" i="4" s="1"/>
  <c r="E36" i="4"/>
  <c r="G36" i="4" s="1"/>
  <c r="E35" i="4"/>
  <c r="E34" i="4"/>
  <c r="E33" i="4"/>
  <c r="H33" i="4" s="1"/>
  <c r="E32" i="4"/>
  <c r="G32" i="4" s="1"/>
  <c r="E31" i="4"/>
  <c r="G31" i="4" s="1"/>
  <c r="E30" i="4"/>
  <c r="H30" i="4" s="1"/>
  <c r="E29" i="4"/>
  <c r="H29" i="4" s="1"/>
  <c r="E28" i="4"/>
  <c r="G28" i="4" s="1"/>
  <c r="E27" i="4"/>
  <c r="E26" i="4"/>
  <c r="E25" i="4"/>
  <c r="H25" i="4" s="1"/>
  <c r="E24" i="4"/>
  <c r="G24" i="4" s="1"/>
  <c r="E23" i="4"/>
  <c r="H23" i="4" s="1"/>
  <c r="E22" i="4"/>
  <c r="H22" i="4" s="1"/>
  <c r="H5" i="4"/>
  <c r="H17" i="4"/>
  <c r="H24" i="4"/>
  <c r="H26" i="4"/>
  <c r="H27" i="4"/>
  <c r="H32" i="4"/>
  <c r="H34" i="4"/>
  <c r="H35" i="4"/>
  <c r="H36" i="4"/>
  <c r="H41" i="4"/>
  <c r="H43" i="4"/>
  <c r="H45" i="4"/>
  <c r="H46" i="4"/>
  <c r="H88" i="4"/>
  <c r="H95" i="4"/>
  <c r="H105" i="4"/>
  <c r="H111" i="4"/>
  <c r="H144" i="4"/>
  <c r="G25" i="4"/>
  <c r="G26" i="4"/>
  <c r="G27" i="4"/>
  <c r="G29" i="4"/>
  <c r="G30" i="4"/>
  <c r="G34" i="4"/>
  <c r="G35" i="4"/>
  <c r="G37" i="4"/>
  <c r="G39" i="4"/>
  <c r="G41" i="4"/>
  <c r="G42" i="4"/>
  <c r="G45" i="4"/>
  <c r="G46" i="4"/>
  <c r="G50" i="4"/>
  <c r="G66" i="4"/>
  <c r="G88" i="4"/>
  <c r="G105" i="4"/>
  <c r="G111" i="4"/>
  <c r="G122" i="4"/>
  <c r="G125" i="4"/>
  <c r="G130" i="4"/>
  <c r="G143" i="4"/>
  <c r="G173" i="4"/>
  <c r="E4" i="4"/>
  <c r="H4" i="4" s="1"/>
  <c r="E5" i="4"/>
  <c r="G5" i="4" s="1"/>
  <c r="E6" i="4"/>
  <c r="G6" i="4" s="1"/>
  <c r="E7" i="4"/>
  <c r="G7" i="4" s="1"/>
  <c r="E8" i="4"/>
  <c r="G8" i="4" s="1"/>
  <c r="E9" i="4"/>
  <c r="G9" i="4" s="1"/>
  <c r="E10" i="4"/>
  <c r="H10" i="4" s="1"/>
  <c r="E11" i="4"/>
  <c r="H11" i="4" s="1"/>
  <c r="E12" i="4"/>
  <c r="G12" i="4" s="1"/>
  <c r="E13" i="4"/>
  <c r="H13" i="4" s="1"/>
  <c r="E14" i="4"/>
  <c r="H14" i="4" s="1"/>
  <c r="E15" i="4"/>
  <c r="H15" i="4" s="1"/>
  <c r="E16" i="4"/>
  <c r="G16" i="4" s="1"/>
  <c r="E17" i="4"/>
  <c r="G17" i="4" s="1"/>
  <c r="E18" i="4"/>
  <c r="H18" i="4" s="1"/>
  <c r="E19" i="4"/>
  <c r="H19" i="4" s="1"/>
  <c r="E20" i="4"/>
  <c r="H20" i="4" s="1"/>
  <c r="E21" i="4"/>
  <c r="G21" i="4" s="1"/>
  <c r="E3" i="4"/>
  <c r="G3" i="4" s="1"/>
  <c r="H3" i="4"/>
  <c r="G188" i="3"/>
  <c r="E188" i="3"/>
  <c r="H188" i="3" s="1"/>
  <c r="E187" i="3"/>
  <c r="H187" i="3" s="1"/>
  <c r="E186" i="3"/>
  <c r="G186" i="3" s="1"/>
  <c r="E185" i="3"/>
  <c r="G185" i="3" s="1"/>
  <c r="E184" i="3"/>
  <c r="H184" i="3" s="1"/>
  <c r="E183" i="3"/>
  <c r="G183" i="3" s="1"/>
  <c r="G179" i="3"/>
  <c r="G177" i="3"/>
  <c r="H177" i="3"/>
  <c r="E182" i="3"/>
  <c r="G182" i="3" s="1"/>
  <c r="E181" i="3"/>
  <c r="G181" i="3" s="1"/>
  <c r="E180" i="3"/>
  <c r="G180" i="3" s="1"/>
  <c r="E179" i="3"/>
  <c r="H179" i="3" s="1"/>
  <c r="E178" i="3"/>
  <c r="G178" i="3" s="1"/>
  <c r="E177" i="3"/>
  <c r="G175" i="3"/>
  <c r="H175" i="3"/>
  <c r="E176" i="3"/>
  <c r="G176" i="3" s="1"/>
  <c r="E175" i="3"/>
  <c r="E174" i="3"/>
  <c r="H174" i="3" s="1"/>
  <c r="E173" i="3"/>
  <c r="H173" i="3" s="1"/>
  <c r="E172" i="3"/>
  <c r="G172" i="3" s="1"/>
  <c r="E171" i="3"/>
  <c r="G171" i="3" s="1"/>
  <c r="G165" i="3"/>
  <c r="E170" i="3"/>
  <c r="G170" i="3" s="1"/>
  <c r="E169" i="3"/>
  <c r="H169" i="3" s="1"/>
  <c r="E168" i="3"/>
  <c r="G168" i="3" s="1"/>
  <c r="E167" i="3"/>
  <c r="G167" i="3" s="1"/>
  <c r="E166" i="3"/>
  <c r="G166" i="3" s="1"/>
  <c r="E165" i="3"/>
  <c r="H165" i="3" s="1"/>
  <c r="G162" i="3"/>
  <c r="H162" i="3"/>
  <c r="G159" i="3"/>
  <c r="E164" i="3"/>
  <c r="H164" i="3" s="1"/>
  <c r="E163" i="3"/>
  <c r="G163" i="3" s="1"/>
  <c r="E162" i="3"/>
  <c r="E161" i="3"/>
  <c r="G161" i="3" s="1"/>
  <c r="E160" i="3"/>
  <c r="H160" i="3" s="1"/>
  <c r="E159" i="3"/>
  <c r="H159" i="3" s="1"/>
  <c r="G158" i="3"/>
  <c r="H158" i="3"/>
  <c r="E158" i="3"/>
  <c r="E157" i="3"/>
  <c r="G157" i="3" s="1"/>
  <c r="E156" i="3"/>
  <c r="G156" i="3" s="1"/>
  <c r="E155" i="3"/>
  <c r="H155" i="3" s="1"/>
  <c r="E154" i="3"/>
  <c r="G154" i="3" s="1"/>
  <c r="E153" i="3"/>
  <c r="G153" i="3" s="1"/>
  <c r="H148" i="3"/>
  <c r="H147" i="3"/>
  <c r="E152" i="3"/>
  <c r="G152" i="3" s="1"/>
  <c r="E151" i="3"/>
  <c r="G151" i="3" s="1"/>
  <c r="E150" i="3"/>
  <c r="H150" i="3" s="1"/>
  <c r="E149" i="3"/>
  <c r="H149" i="3" s="1"/>
  <c r="E148" i="3"/>
  <c r="G148" i="3" s="1"/>
  <c r="E147" i="3"/>
  <c r="G147" i="3" s="1"/>
  <c r="H146" i="3"/>
  <c r="G145" i="3"/>
  <c r="H142" i="3"/>
  <c r="E146" i="3"/>
  <c r="G146" i="3" s="1"/>
  <c r="E145" i="3"/>
  <c r="H145" i="3" s="1"/>
  <c r="E144" i="3"/>
  <c r="G144" i="3" s="1"/>
  <c r="E143" i="3"/>
  <c r="G143" i="3" s="1"/>
  <c r="E142" i="3"/>
  <c r="G142" i="3" s="1"/>
  <c r="E141" i="3"/>
  <c r="H141" i="3" s="1"/>
  <c r="G140" i="3"/>
  <c r="E140" i="3"/>
  <c r="H140" i="3" s="1"/>
  <c r="E139" i="3"/>
  <c r="G139" i="3" s="1"/>
  <c r="E138" i="3"/>
  <c r="G138" i="3" s="1"/>
  <c r="E137" i="3"/>
  <c r="G137" i="3" s="1"/>
  <c r="E136" i="3"/>
  <c r="H136" i="3" s="1"/>
  <c r="E135" i="3"/>
  <c r="G135" i="3" s="1"/>
  <c r="G129" i="3"/>
  <c r="H129" i="3"/>
  <c r="E134" i="3"/>
  <c r="G134" i="3" s="1"/>
  <c r="E133" i="3"/>
  <c r="G133" i="3" s="1"/>
  <c r="E132" i="3"/>
  <c r="G132" i="3" s="1"/>
  <c r="E131" i="3"/>
  <c r="H131" i="3" s="1"/>
  <c r="E130" i="3"/>
  <c r="G130" i="3" s="1"/>
  <c r="E129" i="3"/>
  <c r="H127" i="3"/>
  <c r="G126" i="3"/>
  <c r="G125" i="3"/>
  <c r="E128" i="3"/>
  <c r="G128" i="3" s="1"/>
  <c r="E127" i="3"/>
  <c r="G127" i="3" s="1"/>
  <c r="E126" i="3"/>
  <c r="H126" i="3" s="1"/>
  <c r="E125" i="3"/>
  <c r="H125" i="3" s="1"/>
  <c r="E124" i="3"/>
  <c r="G124" i="3" s="1"/>
  <c r="E123" i="3"/>
  <c r="G123" i="3" s="1"/>
  <c r="E122" i="3"/>
  <c r="G122" i="3" s="1"/>
  <c r="E121" i="3"/>
  <c r="H121" i="3" s="1"/>
  <c r="E120" i="3"/>
  <c r="G120" i="3" s="1"/>
  <c r="E119" i="3"/>
  <c r="G119" i="3" s="1"/>
  <c r="E118" i="3"/>
  <c r="G118" i="3" s="1"/>
  <c r="E117" i="3"/>
  <c r="H117" i="3" s="1"/>
  <c r="H113" i="3"/>
  <c r="G111" i="3"/>
  <c r="H111" i="3"/>
  <c r="E116" i="3"/>
  <c r="H116" i="3" s="1"/>
  <c r="E115" i="3"/>
  <c r="G115" i="3" s="1"/>
  <c r="E114" i="3"/>
  <c r="G114" i="3" s="1"/>
  <c r="E113" i="3"/>
  <c r="G113" i="3" s="1"/>
  <c r="E112" i="3"/>
  <c r="H112" i="3" s="1"/>
  <c r="E111" i="3"/>
  <c r="G110" i="3"/>
  <c r="H110" i="3"/>
  <c r="E110" i="3"/>
  <c r="E109" i="3"/>
  <c r="G109" i="3" s="1"/>
  <c r="E108" i="3"/>
  <c r="G108" i="3" s="1"/>
  <c r="E107" i="3"/>
  <c r="H107" i="3" s="1"/>
  <c r="E106" i="3"/>
  <c r="G106" i="3" s="1"/>
  <c r="E105" i="3"/>
  <c r="G105" i="3" s="1"/>
  <c r="H99" i="3"/>
  <c r="E104" i="3"/>
  <c r="G104" i="3" s="1"/>
  <c r="E103" i="3"/>
  <c r="G103" i="3" s="1"/>
  <c r="E102" i="3"/>
  <c r="H102" i="3" s="1"/>
  <c r="E101" i="3"/>
  <c r="H101" i="3" s="1"/>
  <c r="E100" i="3"/>
  <c r="G100" i="3" s="1"/>
  <c r="E99" i="3"/>
  <c r="G99" i="3" s="1"/>
  <c r="G97" i="3"/>
  <c r="H94" i="3"/>
  <c r="G93" i="3"/>
  <c r="E98" i="3"/>
  <c r="G98" i="3" s="1"/>
  <c r="E97" i="3"/>
  <c r="H97" i="3" s="1"/>
  <c r="E96" i="3"/>
  <c r="G96" i="3" s="1"/>
  <c r="E95" i="3"/>
  <c r="G95" i="3" s="1"/>
  <c r="E94" i="3"/>
  <c r="G94" i="3" s="1"/>
  <c r="E93" i="3"/>
  <c r="H93" i="3" s="1"/>
  <c r="G92" i="3"/>
  <c r="G90" i="3"/>
  <c r="E92" i="3"/>
  <c r="H92" i="3" s="1"/>
  <c r="E91" i="3"/>
  <c r="G91" i="3" s="1"/>
  <c r="E90" i="3"/>
  <c r="H90" i="3" s="1"/>
  <c r="E89" i="3"/>
  <c r="G89" i="3" s="1"/>
  <c r="E88" i="3"/>
  <c r="H88" i="3" s="1"/>
  <c r="E87" i="3"/>
  <c r="G87" i="3" s="1"/>
  <c r="E86" i="3"/>
  <c r="G86" i="3" s="1"/>
  <c r="E85" i="3"/>
  <c r="G85" i="3" s="1"/>
  <c r="E84" i="3"/>
  <c r="H84" i="3" s="1"/>
  <c r="G84" i="3"/>
  <c r="E83" i="3"/>
  <c r="G83" i="3" s="1"/>
  <c r="H83" i="3"/>
  <c r="E82" i="3"/>
  <c r="H82" i="3" s="1"/>
  <c r="E81" i="3"/>
  <c r="G81" i="3" s="1"/>
  <c r="E80" i="3"/>
  <c r="G80" i="3" s="1"/>
  <c r="E79" i="3"/>
  <c r="H79" i="3" s="1"/>
  <c r="H66" i="3"/>
  <c r="G65" i="3"/>
  <c r="E64" i="3"/>
  <c r="H64" i="3" s="1"/>
  <c r="E65" i="3"/>
  <c r="H65" i="3" s="1"/>
  <c r="E66" i="3"/>
  <c r="G66" i="3" s="1"/>
  <c r="E67" i="3"/>
  <c r="H67" i="3" s="1"/>
  <c r="E68" i="3"/>
  <c r="G68" i="3" s="1"/>
  <c r="E69" i="3"/>
  <c r="G69" i="3" s="1"/>
  <c r="E70" i="3"/>
  <c r="H70" i="3" s="1"/>
  <c r="E71" i="3"/>
  <c r="H71" i="3" s="1"/>
  <c r="E72" i="3"/>
  <c r="H72" i="3" s="1"/>
  <c r="E73" i="3"/>
  <c r="H73" i="3" s="1"/>
  <c r="E74" i="3"/>
  <c r="G74" i="3" s="1"/>
  <c r="E75" i="3"/>
  <c r="H75" i="3" s="1"/>
  <c r="E76" i="3"/>
  <c r="H76" i="3" s="1"/>
  <c r="E77" i="3"/>
  <c r="H77" i="3" s="1"/>
  <c r="E78" i="3"/>
  <c r="H78" i="3" s="1"/>
  <c r="E63" i="3"/>
  <c r="G63" i="3" s="1"/>
  <c r="H60" i="3"/>
  <c r="G57" i="3"/>
  <c r="H57" i="3"/>
  <c r="E62" i="3"/>
  <c r="H62" i="3" s="1"/>
  <c r="E61" i="3"/>
  <c r="G61" i="3" s="1"/>
  <c r="E60" i="3"/>
  <c r="G60" i="3" s="1"/>
  <c r="E59" i="3"/>
  <c r="H59" i="3" s="1"/>
  <c r="E58" i="3"/>
  <c r="G58" i="3" s="1"/>
  <c r="E57" i="3"/>
  <c r="G56" i="3"/>
  <c r="H56" i="3"/>
  <c r="E56" i="3"/>
  <c r="E55" i="3"/>
  <c r="G55" i="3" s="1"/>
  <c r="E54" i="3"/>
  <c r="H54" i="3" s="1"/>
  <c r="E53" i="3"/>
  <c r="H53" i="3" s="1"/>
  <c r="E52" i="3"/>
  <c r="G52" i="3" s="1"/>
  <c r="E51" i="3"/>
  <c r="G51" i="3" s="1"/>
  <c r="E50" i="3"/>
  <c r="G50" i="3" s="1"/>
  <c r="E49" i="3"/>
  <c r="G49" i="3" s="1"/>
  <c r="E48" i="3"/>
  <c r="G48" i="3" s="1"/>
  <c r="E47" i="3"/>
  <c r="H47" i="3" s="1"/>
  <c r="E46" i="3"/>
  <c r="G46" i="3" s="1"/>
  <c r="E45" i="3"/>
  <c r="G45" i="3" s="1"/>
  <c r="G39" i="3"/>
  <c r="E44" i="3"/>
  <c r="H44" i="3" s="1"/>
  <c r="E43" i="3"/>
  <c r="G43" i="3" s="1"/>
  <c r="E42" i="3"/>
  <c r="G42" i="3" s="1"/>
  <c r="E41" i="3"/>
  <c r="G41" i="3" s="1"/>
  <c r="E40" i="3"/>
  <c r="G40" i="3" s="1"/>
  <c r="E39" i="3"/>
  <c r="H39" i="3" s="1"/>
  <c r="G37" i="3"/>
  <c r="H37" i="3"/>
  <c r="H36" i="3"/>
  <c r="E38" i="3"/>
  <c r="H38" i="3" s="1"/>
  <c r="E37" i="3"/>
  <c r="E36" i="3"/>
  <c r="G36" i="3" s="1"/>
  <c r="E35" i="3"/>
  <c r="H35" i="3" s="1"/>
  <c r="E34" i="3"/>
  <c r="G34" i="3" s="1"/>
  <c r="E33" i="3"/>
  <c r="G33" i="3" s="1"/>
  <c r="E32" i="3"/>
  <c r="G32" i="3" s="1"/>
  <c r="E31" i="3"/>
  <c r="G31" i="3" s="1"/>
  <c r="E30" i="3"/>
  <c r="H30" i="3" s="1"/>
  <c r="E29" i="3"/>
  <c r="H29" i="3" s="1"/>
  <c r="E28" i="3"/>
  <c r="G28" i="3" s="1"/>
  <c r="E27" i="3"/>
  <c r="G27" i="3" s="1"/>
  <c r="H22" i="3"/>
  <c r="H21" i="3"/>
  <c r="E26" i="3"/>
  <c r="G26" i="3" s="1"/>
  <c r="E25" i="3"/>
  <c r="G25" i="3" s="1"/>
  <c r="E24" i="3"/>
  <c r="G24" i="3" s="1"/>
  <c r="E23" i="3"/>
  <c r="G23" i="3" s="1"/>
  <c r="E22" i="3"/>
  <c r="G22" i="3" s="1"/>
  <c r="E21" i="3"/>
  <c r="G21" i="3" s="1"/>
  <c r="E4" i="3"/>
  <c r="G4" i="3" s="1"/>
  <c r="E5" i="3"/>
  <c r="H5" i="3" s="1"/>
  <c r="E6" i="3"/>
  <c r="H6" i="3" s="1"/>
  <c r="E7" i="3"/>
  <c r="G7" i="3" s="1"/>
  <c r="E8" i="3"/>
  <c r="G8" i="3" s="1"/>
  <c r="E9" i="3"/>
  <c r="H9" i="3" s="1"/>
  <c r="E10" i="3"/>
  <c r="H10" i="3" s="1"/>
  <c r="E11" i="3"/>
  <c r="G11" i="3" s="1"/>
  <c r="E12" i="3"/>
  <c r="H12" i="3" s="1"/>
  <c r="E13" i="3"/>
  <c r="G13" i="3" s="1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H20" i="3" s="1"/>
  <c r="G5" i="3"/>
  <c r="G6" i="3"/>
  <c r="G9" i="3"/>
  <c r="G10" i="3"/>
  <c r="H4" i="3"/>
  <c r="H18" i="3"/>
  <c r="E3" i="3"/>
  <c r="G3" i="3" s="1"/>
  <c r="G170" i="2"/>
  <c r="H170" i="2"/>
  <c r="G169" i="2"/>
  <c r="H169" i="2"/>
  <c r="G168" i="2"/>
  <c r="H168" i="2"/>
  <c r="G167" i="2"/>
  <c r="H167" i="2"/>
  <c r="G166" i="2"/>
  <c r="H166" i="2"/>
  <c r="G165" i="2"/>
  <c r="H165" i="2"/>
  <c r="E170" i="2"/>
  <c r="E169" i="2"/>
  <c r="E168" i="2"/>
  <c r="E167" i="2"/>
  <c r="E166" i="2"/>
  <c r="E165" i="2"/>
  <c r="G164" i="2"/>
  <c r="H164" i="2"/>
  <c r="G163" i="2"/>
  <c r="H163" i="2"/>
  <c r="G162" i="2"/>
  <c r="H162" i="2"/>
  <c r="G161" i="2"/>
  <c r="H161" i="2"/>
  <c r="G160" i="2"/>
  <c r="H160" i="2"/>
  <c r="G159" i="2"/>
  <c r="H159" i="2"/>
  <c r="E164" i="2"/>
  <c r="E163" i="2"/>
  <c r="E162" i="2"/>
  <c r="G158" i="2"/>
  <c r="H158" i="2"/>
  <c r="G157" i="2"/>
  <c r="H157" i="2"/>
  <c r="G156" i="2"/>
  <c r="H156" i="2"/>
  <c r="G155" i="2"/>
  <c r="H155" i="2"/>
  <c r="G154" i="2"/>
  <c r="H154" i="2"/>
  <c r="G153" i="2"/>
  <c r="H153" i="2"/>
  <c r="G152" i="2"/>
  <c r="E135" i="2"/>
  <c r="E129" i="2"/>
  <c r="E136" i="2"/>
  <c r="E137" i="2"/>
  <c r="E138" i="2"/>
  <c r="E139" i="2"/>
  <c r="H139" i="2" s="1"/>
  <c r="E140" i="2"/>
  <c r="G140" i="2" s="1"/>
  <c r="E141" i="2"/>
  <c r="H141" i="2" s="1"/>
  <c r="E142" i="2"/>
  <c r="E143" i="2"/>
  <c r="E144" i="2"/>
  <c r="H144" i="2" s="1"/>
  <c r="E145" i="2"/>
  <c r="E146" i="2"/>
  <c r="E147" i="2"/>
  <c r="H147" i="2" s="1"/>
  <c r="E148" i="2"/>
  <c r="G148" i="2" s="1"/>
  <c r="E149" i="2"/>
  <c r="G149" i="2" s="1"/>
  <c r="E150" i="2"/>
  <c r="E151" i="2"/>
  <c r="H151" i="2" s="1"/>
  <c r="E152" i="2"/>
  <c r="E153" i="2"/>
  <c r="E154" i="2"/>
  <c r="E155" i="2"/>
  <c r="E156" i="2"/>
  <c r="E157" i="2"/>
  <c r="E158" i="2"/>
  <c r="E159" i="2"/>
  <c r="E160" i="2"/>
  <c r="E161" i="2"/>
  <c r="G135" i="2"/>
  <c r="H152" i="2"/>
  <c r="G151" i="2"/>
  <c r="G150" i="2"/>
  <c r="H150" i="2"/>
  <c r="H148" i="2"/>
  <c r="G147" i="2"/>
  <c r="G146" i="2"/>
  <c r="H146" i="2"/>
  <c r="G145" i="2"/>
  <c r="H145" i="2"/>
  <c r="G144" i="2"/>
  <c r="G143" i="2"/>
  <c r="H143" i="2"/>
  <c r="G142" i="2"/>
  <c r="H142" i="2"/>
  <c r="H140" i="2"/>
  <c r="G139" i="2"/>
  <c r="G138" i="2"/>
  <c r="H138" i="2"/>
  <c r="G137" i="2"/>
  <c r="H137" i="2"/>
  <c r="G136" i="2"/>
  <c r="H136" i="2"/>
  <c r="H135" i="2"/>
  <c r="E134" i="2"/>
  <c r="G134" i="2"/>
  <c r="H134" i="2"/>
  <c r="E133" i="2"/>
  <c r="G133" i="2"/>
  <c r="H133" i="2"/>
  <c r="E132" i="2"/>
  <c r="E131" i="2"/>
  <c r="H131" i="2" s="1"/>
  <c r="E130" i="2"/>
  <c r="H127" i="2"/>
  <c r="H128" i="2"/>
  <c r="H129" i="2"/>
  <c r="H130" i="2"/>
  <c r="H132" i="2"/>
  <c r="G127" i="2"/>
  <c r="G128" i="2"/>
  <c r="G129" i="2"/>
  <c r="G130" i="2"/>
  <c r="G132" i="2"/>
  <c r="G126" i="2"/>
  <c r="H126" i="2"/>
  <c r="G125" i="2"/>
  <c r="H125" i="2"/>
  <c r="G124" i="2"/>
  <c r="H124" i="2"/>
  <c r="G123" i="2"/>
  <c r="H123" i="2"/>
  <c r="E128" i="2"/>
  <c r="E127" i="2"/>
  <c r="E126" i="2"/>
  <c r="E125" i="2"/>
  <c r="E124" i="2"/>
  <c r="E123" i="2"/>
  <c r="G122" i="2"/>
  <c r="H122" i="2"/>
  <c r="G121" i="2"/>
  <c r="H121" i="2"/>
  <c r="G120" i="2"/>
  <c r="H120" i="2"/>
  <c r="G119" i="2"/>
  <c r="H119" i="2"/>
  <c r="G118" i="2"/>
  <c r="H118" i="2"/>
  <c r="G117" i="2"/>
  <c r="H117" i="2"/>
  <c r="E122" i="2"/>
  <c r="E121" i="2"/>
  <c r="E120" i="2"/>
  <c r="E119" i="2"/>
  <c r="E118" i="2"/>
  <c r="E117" i="2"/>
  <c r="G116" i="2"/>
  <c r="H116" i="2"/>
  <c r="G115" i="2"/>
  <c r="H115" i="2"/>
  <c r="G114" i="2"/>
  <c r="H114" i="2"/>
  <c r="G113" i="2"/>
  <c r="H113" i="2"/>
  <c r="G112" i="2"/>
  <c r="H112" i="2"/>
  <c r="G111" i="2"/>
  <c r="H111" i="2"/>
  <c r="E116" i="2"/>
  <c r="E115" i="2"/>
  <c r="E114" i="2"/>
  <c r="E113" i="2"/>
  <c r="E112" i="2"/>
  <c r="E111" i="2"/>
  <c r="E110" i="2"/>
  <c r="H110" i="2" s="1"/>
  <c r="G110" i="2"/>
  <c r="G108" i="2"/>
  <c r="H108" i="2"/>
  <c r="G107" i="2"/>
  <c r="H107" i="2"/>
  <c r="G106" i="2"/>
  <c r="H106" i="2"/>
  <c r="G105" i="2"/>
  <c r="H105" i="2"/>
  <c r="E109" i="2"/>
  <c r="G109" i="2" s="1"/>
  <c r="E108" i="2"/>
  <c r="E107" i="2"/>
  <c r="E106" i="2"/>
  <c r="E105" i="2"/>
  <c r="G104" i="2"/>
  <c r="H104" i="2"/>
  <c r="G103" i="2"/>
  <c r="H103" i="2"/>
  <c r="G102" i="2"/>
  <c r="H102" i="2"/>
  <c r="G101" i="2"/>
  <c r="H101" i="2"/>
  <c r="G100" i="2"/>
  <c r="H100" i="2"/>
  <c r="G99" i="2"/>
  <c r="H99" i="2"/>
  <c r="E104" i="2"/>
  <c r="E103" i="2"/>
  <c r="E102" i="2"/>
  <c r="E101" i="2"/>
  <c r="E100" i="2"/>
  <c r="E99" i="2"/>
  <c r="G98" i="2"/>
  <c r="H98" i="2"/>
  <c r="G97" i="2"/>
  <c r="H97" i="2"/>
  <c r="G96" i="2"/>
  <c r="H96" i="2"/>
  <c r="G95" i="2"/>
  <c r="H95" i="2"/>
  <c r="G94" i="2"/>
  <c r="H94" i="2"/>
  <c r="G93" i="2"/>
  <c r="H93" i="2"/>
  <c r="E98" i="2"/>
  <c r="E97" i="2"/>
  <c r="E96" i="2"/>
  <c r="E95" i="2"/>
  <c r="E94" i="2"/>
  <c r="E93" i="2"/>
  <c r="G92" i="2"/>
  <c r="H92" i="2"/>
  <c r="G91" i="2"/>
  <c r="H91" i="2"/>
  <c r="G90" i="2"/>
  <c r="H90" i="2"/>
  <c r="H89" i="2"/>
  <c r="G89" i="2"/>
  <c r="G88" i="2"/>
  <c r="H88" i="2"/>
  <c r="G87" i="2"/>
  <c r="H87" i="2"/>
  <c r="E92" i="2"/>
  <c r="E91" i="2"/>
  <c r="E90" i="2"/>
  <c r="E89" i="2"/>
  <c r="E88" i="2"/>
  <c r="E87" i="2"/>
  <c r="G86" i="2"/>
  <c r="H86" i="2"/>
  <c r="G85" i="2"/>
  <c r="H85" i="2"/>
  <c r="G84" i="2"/>
  <c r="H84" i="2"/>
  <c r="G83" i="2"/>
  <c r="H83" i="2"/>
  <c r="G82" i="2"/>
  <c r="H82" i="2"/>
  <c r="G81" i="2"/>
  <c r="H81" i="2"/>
  <c r="E86" i="2"/>
  <c r="E85" i="2"/>
  <c r="E84" i="2"/>
  <c r="E83" i="2"/>
  <c r="E82" i="2"/>
  <c r="E81" i="2"/>
  <c r="G80" i="2"/>
  <c r="H80" i="2"/>
  <c r="G79" i="2"/>
  <c r="H79" i="2"/>
  <c r="G78" i="2"/>
  <c r="H78" i="2"/>
  <c r="G77" i="2"/>
  <c r="H77" i="2"/>
  <c r="G76" i="2"/>
  <c r="H76" i="2"/>
  <c r="G75" i="2"/>
  <c r="H75" i="2"/>
  <c r="E80" i="2"/>
  <c r="E79" i="2"/>
  <c r="E78" i="2"/>
  <c r="E77" i="2"/>
  <c r="E76" i="2"/>
  <c r="E75" i="2"/>
  <c r="G74" i="2"/>
  <c r="H74" i="2"/>
  <c r="G73" i="2"/>
  <c r="H73" i="2"/>
  <c r="G72" i="2"/>
  <c r="H72" i="2"/>
  <c r="G71" i="2"/>
  <c r="H71" i="2"/>
  <c r="G70" i="2"/>
  <c r="H70" i="2"/>
  <c r="G69" i="2"/>
  <c r="H69" i="2"/>
  <c r="E74" i="2"/>
  <c r="E73" i="2"/>
  <c r="E72" i="2"/>
  <c r="E71" i="2"/>
  <c r="E70" i="2"/>
  <c r="E69" i="2"/>
  <c r="G68" i="2"/>
  <c r="H68" i="2"/>
  <c r="G67" i="2"/>
  <c r="H67" i="2"/>
  <c r="G66" i="2"/>
  <c r="H66" i="2"/>
  <c r="G65" i="2"/>
  <c r="H65" i="2"/>
  <c r="G64" i="2"/>
  <c r="H64" i="2"/>
  <c r="G63" i="2"/>
  <c r="H63" i="2"/>
  <c r="E68" i="2"/>
  <c r="E67" i="2"/>
  <c r="E66" i="2"/>
  <c r="E65" i="2"/>
  <c r="E64" i="2"/>
  <c r="E63" i="2"/>
  <c r="H59" i="2"/>
  <c r="H60" i="2"/>
  <c r="H61" i="2"/>
  <c r="H62" i="2"/>
  <c r="G59" i="2"/>
  <c r="G60" i="2"/>
  <c r="G61" i="2"/>
  <c r="G62" i="2"/>
  <c r="E59" i="2"/>
  <c r="E60" i="2"/>
  <c r="E61" i="2"/>
  <c r="E62" i="2"/>
  <c r="G58" i="2"/>
  <c r="H58" i="2"/>
  <c r="G57" i="2"/>
  <c r="H57" i="2"/>
  <c r="E58" i="2"/>
  <c r="E57" i="2"/>
  <c r="G56" i="2"/>
  <c r="H56" i="2"/>
  <c r="G55" i="2"/>
  <c r="H55" i="2"/>
  <c r="G54" i="2"/>
  <c r="H54" i="2"/>
  <c r="G53" i="2"/>
  <c r="H53" i="2"/>
  <c r="G52" i="2"/>
  <c r="H52" i="2"/>
  <c r="G51" i="2"/>
  <c r="H51" i="2"/>
  <c r="E56" i="2"/>
  <c r="E55" i="2"/>
  <c r="E54" i="2"/>
  <c r="E53" i="2"/>
  <c r="E52" i="2"/>
  <c r="E51" i="2"/>
  <c r="G50" i="2"/>
  <c r="H50" i="2"/>
  <c r="G49" i="2"/>
  <c r="H49" i="2"/>
  <c r="G48" i="2"/>
  <c r="H48" i="2"/>
  <c r="G47" i="2"/>
  <c r="H47" i="2"/>
  <c r="G46" i="2"/>
  <c r="H46" i="2"/>
  <c r="G45" i="2"/>
  <c r="H45" i="2"/>
  <c r="E50" i="2"/>
  <c r="E49" i="2"/>
  <c r="E48" i="2"/>
  <c r="E47" i="2"/>
  <c r="E46" i="2"/>
  <c r="E45" i="2"/>
  <c r="G44" i="2"/>
  <c r="H44" i="2"/>
  <c r="G43" i="2"/>
  <c r="H43" i="2"/>
  <c r="G42" i="2"/>
  <c r="H42" i="2"/>
  <c r="G41" i="2"/>
  <c r="H41" i="2"/>
  <c r="G40" i="2"/>
  <c r="H40" i="2"/>
  <c r="G39" i="2"/>
  <c r="H39" i="2"/>
  <c r="E44" i="2"/>
  <c r="E43" i="2"/>
  <c r="E42" i="2"/>
  <c r="E41" i="2"/>
  <c r="E40" i="2"/>
  <c r="E39" i="2"/>
  <c r="G38" i="2"/>
  <c r="H38" i="2"/>
  <c r="G37" i="2"/>
  <c r="H37" i="2"/>
  <c r="G36" i="2"/>
  <c r="H36" i="2"/>
  <c r="G35" i="2"/>
  <c r="H35" i="2"/>
  <c r="G34" i="2"/>
  <c r="H34" i="2"/>
  <c r="G33" i="2"/>
  <c r="H33" i="2"/>
  <c r="E38" i="2"/>
  <c r="E37" i="2"/>
  <c r="E36" i="2"/>
  <c r="E35" i="2"/>
  <c r="E34" i="2"/>
  <c r="E33" i="2"/>
  <c r="H29" i="2"/>
  <c r="H30" i="2"/>
  <c r="H31" i="2"/>
  <c r="H32" i="2"/>
  <c r="G29" i="2"/>
  <c r="G30" i="2"/>
  <c r="G31" i="2"/>
  <c r="G32" i="2"/>
  <c r="E29" i="2"/>
  <c r="E30" i="2"/>
  <c r="E31" i="2"/>
  <c r="E32" i="2"/>
  <c r="E28" i="2"/>
  <c r="G28" i="2" s="1"/>
  <c r="G27" i="2"/>
  <c r="H27" i="2"/>
  <c r="E27" i="2"/>
  <c r="G26" i="2"/>
  <c r="H26" i="2"/>
  <c r="G25" i="2"/>
  <c r="H25" i="2"/>
  <c r="G24" i="2"/>
  <c r="H24" i="2"/>
  <c r="G23" i="2"/>
  <c r="H23" i="2"/>
  <c r="G22" i="2"/>
  <c r="H22" i="2"/>
  <c r="G21" i="2"/>
  <c r="H21" i="2"/>
  <c r="E26" i="2"/>
  <c r="E25" i="2"/>
  <c r="E24" i="2"/>
  <c r="E23" i="2"/>
  <c r="E22" i="2"/>
  <c r="E21" i="2"/>
  <c r="H15" i="2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G13" i="2"/>
  <c r="G12" i="2"/>
  <c r="G11" i="2"/>
  <c r="G10" i="2"/>
  <c r="E14" i="2"/>
  <c r="H14" i="2" s="1"/>
  <c r="E13" i="2"/>
  <c r="H13" i="2" s="1"/>
  <c r="E12" i="2"/>
  <c r="H12" i="2" s="1"/>
  <c r="E11" i="2"/>
  <c r="H11" i="2" s="1"/>
  <c r="E10" i="2"/>
  <c r="H10" i="2"/>
  <c r="E9" i="2"/>
  <c r="H9" i="2" s="1"/>
  <c r="E4" i="2"/>
  <c r="H4" i="2" s="1"/>
  <c r="E5" i="2"/>
  <c r="H5" i="2" s="1"/>
  <c r="E6" i="2"/>
  <c r="G6" i="2" s="1"/>
  <c r="E7" i="2"/>
  <c r="H7" i="2" s="1"/>
  <c r="E8" i="2"/>
  <c r="G8" i="2" s="1"/>
  <c r="E3" i="2"/>
  <c r="G3" i="2" s="1"/>
  <c r="G13" i="6" l="1"/>
  <c r="J13" i="6" s="1"/>
  <c r="K17" i="6"/>
  <c r="H6" i="6"/>
  <c r="H17" i="6"/>
  <c r="G3" i="6"/>
  <c r="J3" i="6" s="1"/>
  <c r="G8" i="6"/>
  <c r="J8" i="6" s="1"/>
  <c r="H16" i="6"/>
  <c r="H12" i="6"/>
  <c r="G47" i="5"/>
  <c r="G44" i="5"/>
  <c r="H14" i="5"/>
  <c r="G25" i="5"/>
  <c r="J25" i="5" s="1"/>
  <c r="H27" i="5"/>
  <c r="H23" i="5"/>
  <c r="H168" i="5"/>
  <c r="H5" i="5"/>
  <c r="G4" i="5"/>
  <c r="E190" i="5"/>
  <c r="H60" i="5"/>
  <c r="G3" i="5"/>
  <c r="G7" i="5"/>
  <c r="J7" i="5" s="1"/>
  <c r="H13" i="5"/>
  <c r="H35" i="5"/>
  <c r="H10" i="5"/>
  <c r="G40" i="5"/>
  <c r="J40" i="5" s="1"/>
  <c r="G7" i="6"/>
  <c r="J7" i="6" s="1"/>
  <c r="H18" i="6"/>
  <c r="G5" i="6"/>
  <c r="J5" i="6" s="1"/>
  <c r="K5" i="6" s="1"/>
  <c r="G4" i="6"/>
  <c r="J4" i="6" s="1"/>
  <c r="H20" i="6"/>
  <c r="H13" i="3"/>
  <c r="G38" i="3"/>
  <c r="H40" i="3"/>
  <c r="H61" i="3"/>
  <c r="H80" i="3"/>
  <c r="H98" i="3"/>
  <c r="H100" i="3"/>
  <c r="H114" i="3"/>
  <c r="G131" i="3"/>
  <c r="G149" i="3"/>
  <c r="G164" i="3"/>
  <c r="H166" i="3"/>
  <c r="H182" i="3"/>
  <c r="H183" i="3"/>
  <c r="H7" i="3"/>
  <c r="H25" i="3"/>
  <c r="H28" i="3"/>
  <c r="H42" i="3"/>
  <c r="H45" i="3"/>
  <c r="G101" i="3"/>
  <c r="G117" i="3"/>
  <c r="H134" i="3"/>
  <c r="H135" i="3"/>
  <c r="G150" i="3"/>
  <c r="H153" i="3"/>
  <c r="G169" i="3"/>
  <c r="H171" i="3"/>
  <c r="G29" i="3"/>
  <c r="H46" i="3"/>
  <c r="G62" i="3"/>
  <c r="H81" i="3"/>
  <c r="H86" i="3"/>
  <c r="H87" i="3"/>
  <c r="G102" i="3"/>
  <c r="H105" i="3"/>
  <c r="G116" i="3"/>
  <c r="H118" i="3"/>
  <c r="H151" i="3"/>
  <c r="H170" i="3"/>
  <c r="H172" i="3"/>
  <c r="H186" i="3"/>
  <c r="H32" i="3"/>
  <c r="H33" i="3"/>
  <c r="H49" i="3"/>
  <c r="H52" i="3"/>
  <c r="H63" i="3"/>
  <c r="H103" i="3"/>
  <c r="G121" i="3"/>
  <c r="H123" i="3"/>
  <c r="H138" i="3"/>
  <c r="G155" i="3"/>
  <c r="G173" i="3"/>
  <c r="G53" i="3"/>
  <c r="G107" i="3"/>
  <c r="H122" i="3"/>
  <c r="H124" i="3"/>
  <c r="G141" i="3"/>
  <c r="G174" i="3"/>
  <c r="G187" i="3"/>
  <c r="G47" i="3"/>
  <c r="H89" i="3"/>
  <c r="H108" i="3"/>
  <c r="H132" i="3"/>
  <c r="H137" i="3"/>
  <c r="H156" i="3"/>
  <c r="H161" i="3"/>
  <c r="H180" i="3"/>
  <c r="H185" i="3"/>
  <c r="H24" i="3"/>
  <c r="H34" i="3"/>
  <c r="H43" i="3"/>
  <c r="H48" i="3"/>
  <c r="H58" i="3"/>
  <c r="G64" i="3"/>
  <c r="H85" i="3"/>
  <c r="H23" i="3"/>
  <c r="H68" i="3"/>
  <c r="H95" i="3"/>
  <c r="H104" i="3"/>
  <c r="H109" i="3"/>
  <c r="H119" i="3"/>
  <c r="H128" i="3"/>
  <c r="H133" i="3"/>
  <c r="H143" i="3"/>
  <c r="H152" i="3"/>
  <c r="H157" i="3"/>
  <c r="H167" i="3"/>
  <c r="H176" i="3"/>
  <c r="H181" i="3"/>
  <c r="G184" i="3"/>
  <c r="G160" i="3"/>
  <c r="G12" i="3"/>
  <c r="H3" i="3"/>
  <c r="G20" i="3"/>
  <c r="G30" i="3"/>
  <c r="G35" i="3"/>
  <c r="G44" i="3"/>
  <c r="G54" i="3"/>
  <c r="G59" i="3"/>
  <c r="G75" i="3"/>
  <c r="H91" i="3"/>
  <c r="H96" i="3"/>
  <c r="H106" i="3"/>
  <c r="H115" i="3"/>
  <c r="H120" i="3"/>
  <c r="H130" i="3"/>
  <c r="H139" i="3"/>
  <c r="H144" i="3"/>
  <c r="H154" i="3"/>
  <c r="H163" i="3"/>
  <c r="H168" i="3"/>
  <c r="H178" i="3"/>
  <c r="G112" i="3"/>
  <c r="G136" i="3"/>
  <c r="H26" i="3"/>
  <c r="H31" i="3"/>
  <c r="H41" i="3"/>
  <c r="H51" i="3"/>
  <c r="H55" i="3"/>
  <c r="G88" i="3"/>
  <c r="H27" i="3"/>
  <c r="H50" i="3"/>
  <c r="G67" i="3"/>
  <c r="G79" i="3"/>
  <c r="H9" i="5"/>
  <c r="H16" i="5"/>
  <c r="H8" i="5"/>
  <c r="G20" i="5"/>
  <c r="H98" i="5"/>
  <c r="H57" i="5"/>
  <c r="G41" i="5"/>
  <c r="G17" i="5"/>
  <c r="H99" i="5"/>
  <c r="H58" i="5"/>
  <c r="H15" i="5"/>
  <c r="G19" i="5"/>
  <c r="J19" i="5" s="1"/>
  <c r="H156" i="5"/>
  <c r="H97" i="5"/>
  <c r="H38" i="5"/>
  <c r="G42" i="5"/>
  <c r="G43" i="5"/>
  <c r="J43" i="5" s="1"/>
  <c r="H155" i="5"/>
  <c r="H90" i="5"/>
  <c r="H37" i="5"/>
  <c r="G88" i="5"/>
  <c r="J88" i="5" s="1"/>
  <c r="G22" i="5"/>
  <c r="J22" i="5" s="1"/>
  <c r="H150" i="5"/>
  <c r="H76" i="5"/>
  <c r="H36" i="5"/>
  <c r="G74" i="5"/>
  <c r="G66" i="5"/>
  <c r="H12" i="5"/>
  <c r="H4" i="5"/>
  <c r="H114" i="5"/>
  <c r="H11" i="5"/>
  <c r="G24" i="5"/>
  <c r="H113" i="5"/>
  <c r="H61" i="5"/>
  <c r="H34" i="5"/>
  <c r="G51" i="5"/>
  <c r="G18" i="5"/>
  <c r="G26" i="5"/>
  <c r="H102" i="5"/>
  <c r="H33" i="5"/>
  <c r="G48" i="5"/>
  <c r="H19" i="6"/>
  <c r="G15" i="6"/>
  <c r="J15" i="6" s="1"/>
  <c r="K16" i="6" s="1"/>
  <c r="G14" i="6"/>
  <c r="J14" i="6" s="1"/>
  <c r="K13" i="6" s="1"/>
  <c r="G11" i="6"/>
  <c r="J11" i="6" s="1"/>
  <c r="K11" i="6" s="1"/>
  <c r="G10" i="6"/>
  <c r="J10" i="6" s="1"/>
  <c r="G9" i="6"/>
  <c r="J9" i="6" s="1"/>
  <c r="K10" i="6" s="1"/>
  <c r="G186" i="5"/>
  <c r="H185" i="5"/>
  <c r="H188" i="5"/>
  <c r="H187" i="5"/>
  <c r="H184" i="5"/>
  <c r="H183" i="5"/>
  <c r="H182" i="5"/>
  <c r="H179" i="5"/>
  <c r="H178" i="5"/>
  <c r="H181" i="5"/>
  <c r="H180" i="5"/>
  <c r="H177" i="5"/>
  <c r="G176" i="5"/>
  <c r="G175" i="5"/>
  <c r="J175" i="5" s="1"/>
  <c r="G174" i="5"/>
  <c r="H173" i="5"/>
  <c r="G172" i="5"/>
  <c r="J172" i="5" s="1"/>
  <c r="H171" i="5"/>
  <c r="H167" i="5"/>
  <c r="H170" i="5"/>
  <c r="H169" i="5"/>
  <c r="H166" i="5"/>
  <c r="H165" i="5"/>
  <c r="H164" i="5"/>
  <c r="H163" i="5"/>
  <c r="H162" i="5"/>
  <c r="H161" i="5"/>
  <c r="H160" i="5"/>
  <c r="H157" i="5"/>
  <c r="H154" i="5"/>
  <c r="H153" i="5"/>
  <c r="H159" i="5"/>
  <c r="H158" i="5"/>
  <c r="H152" i="5"/>
  <c r="H147" i="5"/>
  <c r="H151" i="5"/>
  <c r="H149" i="5"/>
  <c r="H148" i="5"/>
  <c r="H146" i="5"/>
  <c r="H144" i="5"/>
  <c r="H143" i="5"/>
  <c r="H142" i="5"/>
  <c r="H145" i="5"/>
  <c r="H141" i="5"/>
  <c r="H140" i="5"/>
  <c r="H139" i="5"/>
  <c r="H138" i="5"/>
  <c r="H137" i="5"/>
  <c r="H136" i="5"/>
  <c r="H135" i="5"/>
  <c r="H132" i="5"/>
  <c r="H134" i="5"/>
  <c r="H133" i="5"/>
  <c r="H131" i="5"/>
  <c r="H130" i="5"/>
  <c r="H129" i="5"/>
  <c r="H126" i="5"/>
  <c r="H128" i="5"/>
  <c r="H127" i="5"/>
  <c r="H125" i="5"/>
  <c r="H124" i="5"/>
  <c r="H123" i="5"/>
  <c r="H122" i="5"/>
  <c r="H120" i="5"/>
  <c r="H119" i="5"/>
  <c r="H121" i="5"/>
  <c r="H118" i="5"/>
  <c r="H117" i="5"/>
  <c r="H116" i="5"/>
  <c r="H111" i="5"/>
  <c r="H115" i="5"/>
  <c r="H112" i="5"/>
  <c r="H110" i="5"/>
  <c r="H109" i="5"/>
  <c r="H106" i="5"/>
  <c r="H108" i="5"/>
  <c r="H107" i="5"/>
  <c r="G105" i="5"/>
  <c r="H103" i="5"/>
  <c r="G101" i="5"/>
  <c r="H100" i="5"/>
  <c r="H104" i="5"/>
  <c r="H96" i="5"/>
  <c r="G95" i="5"/>
  <c r="H94" i="5"/>
  <c r="H93" i="5"/>
  <c r="G92" i="5"/>
  <c r="H89" i="5"/>
  <c r="H91" i="5"/>
  <c r="G87" i="5"/>
  <c r="H83" i="5"/>
  <c r="H82" i="5"/>
  <c r="G81" i="5"/>
  <c r="H86" i="5"/>
  <c r="H85" i="5"/>
  <c r="H84" i="5"/>
  <c r="H78" i="5"/>
  <c r="H75" i="5"/>
  <c r="H80" i="5"/>
  <c r="H79" i="5"/>
  <c r="H77" i="5"/>
  <c r="H68" i="5"/>
  <c r="H67" i="5"/>
  <c r="H64" i="5"/>
  <c r="H63" i="5"/>
  <c r="G65" i="5"/>
  <c r="H70" i="5"/>
  <c r="G73" i="5"/>
  <c r="J73" i="5" s="1"/>
  <c r="H69" i="5"/>
  <c r="G72" i="5"/>
  <c r="G71" i="5"/>
  <c r="H59" i="5"/>
  <c r="G62" i="5"/>
  <c r="H54" i="5"/>
  <c r="H53" i="5"/>
  <c r="H56" i="5"/>
  <c r="H55" i="5"/>
  <c r="H52" i="5"/>
  <c r="G49" i="5"/>
  <c r="J49" i="5" s="1"/>
  <c r="H46" i="5"/>
  <c r="G45" i="5"/>
  <c r="H50" i="5"/>
  <c r="H39" i="5"/>
  <c r="G31" i="5"/>
  <c r="J31" i="5" s="1"/>
  <c r="H30" i="5"/>
  <c r="H32" i="5"/>
  <c r="H29" i="5"/>
  <c r="G28" i="5"/>
  <c r="J28" i="5" s="1"/>
  <c r="H21" i="5"/>
  <c r="G176" i="4"/>
  <c r="G175" i="4"/>
  <c r="G167" i="4"/>
  <c r="G170" i="4"/>
  <c r="G169" i="4"/>
  <c r="G168" i="4"/>
  <c r="G160" i="4"/>
  <c r="G159" i="4"/>
  <c r="G162" i="4"/>
  <c r="G157" i="4"/>
  <c r="G154" i="4"/>
  <c r="G73" i="4"/>
  <c r="H73" i="4"/>
  <c r="H85" i="4"/>
  <c r="G85" i="4"/>
  <c r="H12" i="4"/>
  <c r="G181" i="4"/>
  <c r="H8" i="4"/>
  <c r="E115" i="4"/>
  <c r="G115" i="4" s="1"/>
  <c r="G178" i="4"/>
  <c r="G153" i="4"/>
  <c r="G114" i="4"/>
  <c r="G64" i="4"/>
  <c r="G33" i="4"/>
  <c r="G13" i="4"/>
  <c r="H40" i="4"/>
  <c r="H7" i="4"/>
  <c r="E55" i="4"/>
  <c r="G4" i="4"/>
  <c r="G44" i="4"/>
  <c r="H177" i="4"/>
  <c r="G165" i="4"/>
  <c r="G112" i="4"/>
  <c r="G61" i="4"/>
  <c r="H145" i="4"/>
  <c r="H49" i="4"/>
  <c r="H28" i="4"/>
  <c r="H6" i="4"/>
  <c r="H47" i="4"/>
  <c r="G161" i="4"/>
  <c r="G133" i="4"/>
  <c r="H129" i="4"/>
  <c r="G152" i="4"/>
  <c r="G151" i="4"/>
  <c r="G149" i="4"/>
  <c r="G141" i="4"/>
  <c r="G146" i="4"/>
  <c r="H137" i="4"/>
  <c r="H136" i="4"/>
  <c r="H135" i="4"/>
  <c r="G138" i="4"/>
  <c r="H128" i="4"/>
  <c r="G128" i="4"/>
  <c r="G127" i="4"/>
  <c r="H127" i="4"/>
  <c r="G121" i="4"/>
  <c r="G120" i="4"/>
  <c r="G119" i="4"/>
  <c r="G117" i="4"/>
  <c r="H113" i="4"/>
  <c r="G106" i="4"/>
  <c r="G109" i="4"/>
  <c r="G104" i="4"/>
  <c r="H103" i="4"/>
  <c r="G101" i="4"/>
  <c r="E97" i="4"/>
  <c r="G97" i="4" s="1"/>
  <c r="G93" i="4"/>
  <c r="G98" i="4"/>
  <c r="H96" i="4"/>
  <c r="G90" i="4"/>
  <c r="H89" i="4"/>
  <c r="H87" i="4"/>
  <c r="G82" i="4"/>
  <c r="H81" i="4"/>
  <c r="H79" i="4"/>
  <c r="G79" i="4"/>
  <c r="G80" i="4"/>
  <c r="G77" i="4"/>
  <c r="H72" i="4"/>
  <c r="H71" i="4"/>
  <c r="G69" i="4"/>
  <c r="G74" i="4"/>
  <c r="G65" i="4"/>
  <c r="H63" i="4"/>
  <c r="G58" i="4"/>
  <c r="H57" i="4"/>
  <c r="G56" i="4"/>
  <c r="H55" i="4"/>
  <c r="G55" i="4"/>
  <c r="G53" i="4"/>
  <c r="G142" i="4"/>
  <c r="G126" i="4"/>
  <c r="G102" i="4"/>
  <c r="G78" i="4"/>
  <c r="G54" i="4"/>
  <c r="H166" i="4"/>
  <c r="H118" i="4"/>
  <c r="H94" i="4"/>
  <c r="H179" i="4"/>
  <c r="H171" i="4"/>
  <c r="H163" i="4"/>
  <c r="H155" i="4"/>
  <c r="H147" i="4"/>
  <c r="H139" i="4"/>
  <c r="H131" i="4"/>
  <c r="H123" i="4"/>
  <c r="H107" i="4"/>
  <c r="H99" i="4"/>
  <c r="H91" i="4"/>
  <c r="H83" i="4"/>
  <c r="H75" i="4"/>
  <c r="H67" i="4"/>
  <c r="H59" i="4"/>
  <c r="H51" i="4"/>
  <c r="G182" i="4"/>
  <c r="G150" i="4"/>
  <c r="G70" i="4"/>
  <c r="H174" i="4"/>
  <c r="H134" i="4"/>
  <c r="H110" i="4"/>
  <c r="G86" i="4"/>
  <c r="G62" i="4"/>
  <c r="G180" i="4"/>
  <c r="G164" i="4"/>
  <c r="G148" i="4"/>
  <c r="G132" i="4"/>
  <c r="G108" i="4"/>
  <c r="G92" i="4"/>
  <c r="G60" i="4"/>
  <c r="G172" i="4"/>
  <c r="G156" i="4"/>
  <c r="G140" i="4"/>
  <c r="G124" i="4"/>
  <c r="G116" i="4"/>
  <c r="G100" i="4"/>
  <c r="G84" i="4"/>
  <c r="G76" i="4"/>
  <c r="G68" i="4"/>
  <c r="G52" i="4"/>
  <c r="G48" i="4"/>
  <c r="G38" i="4"/>
  <c r="H31" i="4"/>
  <c r="G22" i="4"/>
  <c r="G23" i="4"/>
  <c r="H21" i="4"/>
  <c r="H16" i="4"/>
  <c r="G15" i="4"/>
  <c r="G20" i="4"/>
  <c r="G19" i="4"/>
  <c r="G18" i="4"/>
  <c r="G14" i="4"/>
  <c r="G11" i="4"/>
  <c r="G10" i="4"/>
  <c r="H9" i="4"/>
  <c r="G82" i="3"/>
  <c r="G78" i="3"/>
  <c r="G76" i="3"/>
  <c r="G77" i="3"/>
  <c r="G73" i="3"/>
  <c r="G72" i="3"/>
  <c r="G71" i="3"/>
  <c r="H69" i="3"/>
  <c r="H74" i="3"/>
  <c r="G70" i="3"/>
  <c r="H17" i="3"/>
  <c r="H15" i="3"/>
  <c r="H14" i="3"/>
  <c r="H16" i="3"/>
  <c r="H8" i="3"/>
  <c r="H19" i="3"/>
  <c r="H11" i="3"/>
  <c r="G141" i="2"/>
  <c r="H149" i="2"/>
  <c r="G131" i="2"/>
  <c r="H109" i="2"/>
  <c r="H28" i="2"/>
  <c r="G9" i="2"/>
  <c r="H17" i="2"/>
  <c r="H19" i="2"/>
  <c r="G14" i="2"/>
  <c r="H18" i="2"/>
  <c r="H16" i="2"/>
  <c r="H20" i="2"/>
  <c r="H6" i="2"/>
  <c r="G5" i="2"/>
  <c r="H3" i="2"/>
  <c r="G4" i="2"/>
  <c r="H8" i="2"/>
  <c r="G7" i="2"/>
  <c r="K4" i="6" l="1"/>
  <c r="K7" i="6"/>
  <c r="H190" i="5"/>
  <c r="G190" i="5"/>
  <c r="H115" i="4"/>
  <c r="H97" i="4"/>
  <c r="F189" i="1" l="1"/>
  <c r="G188" i="1" l="1"/>
  <c r="G184" i="1"/>
  <c r="G181" i="1"/>
  <c r="G180" i="1"/>
  <c r="G176" i="1"/>
  <c r="G173" i="1"/>
  <c r="G172" i="1"/>
  <c r="G168" i="1"/>
  <c r="G165" i="1"/>
  <c r="G164" i="1"/>
  <c r="G160" i="1"/>
  <c r="G157" i="1"/>
  <c r="G156" i="1"/>
  <c r="G152" i="1"/>
  <c r="G149" i="1"/>
  <c r="G148" i="1"/>
  <c r="G144" i="1"/>
  <c r="G141" i="1"/>
  <c r="G140" i="1"/>
  <c r="G136" i="1"/>
  <c r="G133" i="1"/>
  <c r="G132" i="1"/>
  <c r="G126" i="1"/>
  <c r="G124" i="1"/>
  <c r="G122" i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H182" i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20" i="1"/>
  <c r="H120" i="1" s="1"/>
  <c r="E119" i="1"/>
  <c r="H119" i="1" s="1"/>
  <c r="E118" i="1"/>
  <c r="H118" i="1" s="1"/>
  <c r="E117" i="1"/>
  <c r="H117" i="1" s="1"/>
  <c r="G115" i="1"/>
  <c r="G114" i="1"/>
  <c r="G111" i="1"/>
  <c r="E116" i="1"/>
  <c r="H116" i="1" s="1"/>
  <c r="E115" i="1"/>
  <c r="H115" i="1" s="1"/>
  <c r="E114" i="1"/>
  <c r="H114" i="1" s="1"/>
  <c r="E113" i="1"/>
  <c r="H113" i="1" s="1"/>
  <c r="E112" i="1"/>
  <c r="H112" i="1" s="1"/>
  <c r="E111" i="1"/>
  <c r="H111" i="1" s="1"/>
  <c r="G109" i="1"/>
  <c r="G108" i="1"/>
  <c r="G105" i="1"/>
  <c r="E110" i="1"/>
  <c r="H110" i="1" s="1"/>
  <c r="E109" i="1"/>
  <c r="H109" i="1" s="1"/>
  <c r="E108" i="1"/>
  <c r="H108" i="1" s="1"/>
  <c r="E107" i="1"/>
  <c r="H107" i="1" s="1"/>
  <c r="E106" i="1"/>
  <c r="H106" i="1" s="1"/>
  <c r="E105" i="1"/>
  <c r="H105" i="1" s="1"/>
  <c r="G99" i="1"/>
  <c r="E104" i="1"/>
  <c r="E103" i="1"/>
  <c r="E102" i="1"/>
  <c r="E101" i="1"/>
  <c r="E100" i="1"/>
  <c r="H100" i="1" s="1"/>
  <c r="E99" i="1"/>
  <c r="H99" i="1" s="1"/>
  <c r="G98" i="1"/>
  <c r="G97" i="1"/>
  <c r="G96" i="1"/>
  <c r="E98" i="1"/>
  <c r="H98" i="1" s="1"/>
  <c r="E97" i="1"/>
  <c r="H97" i="1" s="1"/>
  <c r="E96" i="1"/>
  <c r="H96" i="1" s="1"/>
  <c r="E95" i="1"/>
  <c r="H95" i="1" s="1"/>
  <c r="E94" i="1"/>
  <c r="E93" i="1"/>
  <c r="G92" i="1"/>
  <c r="G87" i="1"/>
  <c r="E92" i="1"/>
  <c r="H92" i="1" s="1"/>
  <c r="E91" i="1"/>
  <c r="E90" i="1"/>
  <c r="E89" i="1"/>
  <c r="H89" i="1" s="1"/>
  <c r="E88" i="1"/>
  <c r="H88" i="1" s="1"/>
  <c r="E87" i="1"/>
  <c r="H87" i="1" s="1"/>
  <c r="G82" i="1"/>
  <c r="E82" i="1"/>
  <c r="H82" i="1" s="1"/>
  <c r="E83" i="1"/>
  <c r="H83" i="1" s="1"/>
  <c r="E84" i="1"/>
  <c r="H84" i="1" s="1"/>
  <c r="E85" i="1"/>
  <c r="E86" i="1"/>
  <c r="E81" i="1"/>
  <c r="G77" i="1"/>
  <c r="E80" i="1"/>
  <c r="H80" i="1" s="1"/>
  <c r="E79" i="1"/>
  <c r="E78" i="1"/>
  <c r="E77" i="1"/>
  <c r="H77" i="1" s="1"/>
  <c r="E76" i="1"/>
  <c r="H76" i="1" s="1"/>
  <c r="E75" i="1"/>
  <c r="H75" i="1" s="1"/>
  <c r="G73" i="1"/>
  <c r="G72" i="1"/>
  <c r="G71" i="1"/>
  <c r="E74" i="1"/>
  <c r="H74" i="1" s="1"/>
  <c r="E73" i="1"/>
  <c r="H73" i="1" s="1"/>
  <c r="E72" i="1"/>
  <c r="H72" i="1" s="1"/>
  <c r="E71" i="1"/>
  <c r="H71" i="1" s="1"/>
  <c r="E70" i="1"/>
  <c r="H70" i="1" s="1"/>
  <c r="E69" i="1"/>
  <c r="G68" i="1"/>
  <c r="G63" i="1"/>
  <c r="E68" i="1"/>
  <c r="H68" i="1" s="1"/>
  <c r="E67" i="1"/>
  <c r="E66" i="1"/>
  <c r="E65" i="1"/>
  <c r="H65" i="1" s="1"/>
  <c r="E64" i="1"/>
  <c r="H64" i="1" s="1"/>
  <c r="E63" i="1"/>
  <c r="H63" i="1" s="1"/>
  <c r="G60" i="1"/>
  <c r="G58" i="1"/>
  <c r="E62" i="1"/>
  <c r="H62" i="1" s="1"/>
  <c r="E61" i="1"/>
  <c r="H61" i="1" s="1"/>
  <c r="E60" i="1"/>
  <c r="H60" i="1" s="1"/>
  <c r="E59" i="1"/>
  <c r="H59" i="1" s="1"/>
  <c r="E58" i="1"/>
  <c r="H58" i="1" s="1"/>
  <c r="E57" i="1"/>
  <c r="G53" i="1"/>
  <c r="G51" i="1"/>
  <c r="E56" i="1"/>
  <c r="H56" i="1" s="1"/>
  <c r="E55" i="1"/>
  <c r="E54" i="1"/>
  <c r="E53" i="1"/>
  <c r="H53" i="1" s="1"/>
  <c r="E52" i="1"/>
  <c r="E51" i="1"/>
  <c r="H51" i="1" s="1"/>
  <c r="G49" i="1"/>
  <c r="G48" i="1"/>
  <c r="G47" i="1"/>
  <c r="E50" i="1"/>
  <c r="E49" i="1"/>
  <c r="H49" i="1" s="1"/>
  <c r="E48" i="1"/>
  <c r="H48" i="1" s="1"/>
  <c r="E47" i="1"/>
  <c r="H47" i="1" s="1"/>
  <c r="E46" i="1"/>
  <c r="H46" i="1" s="1"/>
  <c r="G44" i="1"/>
  <c r="G43" i="1"/>
  <c r="G34" i="1"/>
  <c r="E33" i="1"/>
  <c r="E34" i="1"/>
  <c r="H34" i="1" s="1"/>
  <c r="E35" i="1"/>
  <c r="H35" i="1" s="1"/>
  <c r="E36" i="1"/>
  <c r="H36" i="1" s="1"/>
  <c r="E37" i="1"/>
  <c r="E38" i="1"/>
  <c r="E39" i="1"/>
  <c r="E40" i="1"/>
  <c r="E41" i="1"/>
  <c r="E42" i="1"/>
  <c r="E43" i="1"/>
  <c r="H43" i="1" s="1"/>
  <c r="E44" i="1"/>
  <c r="H44" i="1" s="1"/>
  <c r="E45" i="1"/>
  <c r="E32" i="1"/>
  <c r="H32" i="1" s="1"/>
  <c r="E31" i="1"/>
  <c r="E30" i="1"/>
  <c r="E29" i="1"/>
  <c r="E28" i="1"/>
  <c r="E27" i="1"/>
  <c r="H27" i="1" s="1"/>
  <c r="G22" i="1"/>
  <c r="E26" i="1"/>
  <c r="E25" i="1"/>
  <c r="H25" i="1" s="1"/>
  <c r="E24" i="1"/>
  <c r="H24" i="1" s="1"/>
  <c r="E23" i="1"/>
  <c r="H23" i="1" s="1"/>
  <c r="E22" i="1"/>
  <c r="H22" i="1" s="1"/>
  <c r="E21" i="1"/>
  <c r="E16" i="1"/>
  <c r="E17" i="1"/>
  <c r="E18" i="1"/>
  <c r="E19" i="1"/>
  <c r="E20" i="1"/>
  <c r="E15" i="1"/>
  <c r="G19" i="1" l="1"/>
  <c r="H19" i="1"/>
  <c r="G29" i="1"/>
  <c r="H29" i="1"/>
  <c r="G66" i="1"/>
  <c r="H66" i="1"/>
  <c r="G75" i="1"/>
  <c r="G90" i="1"/>
  <c r="H90" i="1"/>
  <c r="G94" i="1"/>
  <c r="H94" i="1"/>
  <c r="G100" i="1"/>
  <c r="G106" i="1"/>
  <c r="G116" i="1"/>
  <c r="G129" i="1"/>
  <c r="H129" i="1"/>
  <c r="G18" i="1"/>
  <c r="H18" i="1"/>
  <c r="G26" i="1"/>
  <c r="H26" i="1"/>
  <c r="G30" i="1"/>
  <c r="H30" i="1"/>
  <c r="G42" i="1"/>
  <c r="H42" i="1"/>
  <c r="G56" i="1"/>
  <c r="G59" i="1"/>
  <c r="G67" i="1"/>
  <c r="H67" i="1"/>
  <c r="G74" i="1"/>
  <c r="G76" i="1"/>
  <c r="G91" i="1"/>
  <c r="H91" i="1"/>
  <c r="G107" i="1"/>
  <c r="G117" i="1"/>
  <c r="G125" i="1"/>
  <c r="G134" i="1"/>
  <c r="G142" i="1"/>
  <c r="G150" i="1"/>
  <c r="G158" i="1"/>
  <c r="G166" i="1"/>
  <c r="G174" i="1"/>
  <c r="G182" i="1"/>
  <c r="G37" i="1"/>
  <c r="H37" i="1"/>
  <c r="G79" i="1"/>
  <c r="H79" i="1"/>
  <c r="G104" i="1"/>
  <c r="H104" i="1"/>
  <c r="G41" i="1"/>
  <c r="H41" i="1"/>
  <c r="G57" i="1"/>
  <c r="H57" i="1"/>
  <c r="G118" i="1"/>
  <c r="G167" i="1"/>
  <c r="G16" i="1"/>
  <c r="H16" i="1"/>
  <c r="G119" i="1"/>
  <c r="G85" i="1"/>
  <c r="H85" i="1"/>
  <c r="G20" i="1"/>
  <c r="H20" i="1"/>
  <c r="G93" i="1"/>
  <c r="H93" i="1"/>
  <c r="G135" i="1"/>
  <c r="G151" i="1"/>
  <c r="G183" i="1"/>
  <c r="G61" i="1"/>
  <c r="G83" i="1"/>
  <c r="G127" i="1"/>
  <c r="G27" i="1"/>
  <c r="G50" i="1"/>
  <c r="H50" i="1"/>
  <c r="G62" i="1"/>
  <c r="G64" i="1"/>
  <c r="G81" i="1"/>
  <c r="H81" i="1"/>
  <c r="G84" i="1"/>
  <c r="G88" i="1"/>
  <c r="G102" i="1"/>
  <c r="H102" i="1"/>
  <c r="G110" i="1"/>
  <c r="G112" i="1"/>
  <c r="G120" i="1"/>
  <c r="G128" i="1"/>
  <c r="G137" i="1"/>
  <c r="G145" i="1"/>
  <c r="G153" i="1"/>
  <c r="G161" i="1"/>
  <c r="G169" i="1"/>
  <c r="G177" i="1"/>
  <c r="G185" i="1"/>
  <c r="G45" i="1"/>
  <c r="H45" i="1"/>
  <c r="G28" i="1"/>
  <c r="H28" i="1"/>
  <c r="G69" i="1"/>
  <c r="H69" i="1"/>
  <c r="G17" i="1"/>
  <c r="H17" i="1"/>
  <c r="G31" i="1"/>
  <c r="H31" i="1"/>
  <c r="G33" i="1"/>
  <c r="H33" i="1"/>
  <c r="G52" i="1"/>
  <c r="H52" i="1"/>
  <c r="G143" i="1"/>
  <c r="G159" i="1"/>
  <c r="G175" i="1"/>
  <c r="G23" i="1"/>
  <c r="G40" i="1"/>
  <c r="H40" i="1"/>
  <c r="G80" i="1"/>
  <c r="G101" i="1"/>
  <c r="H101" i="1"/>
  <c r="G21" i="1"/>
  <c r="H21" i="1"/>
  <c r="G24" i="1"/>
  <c r="G39" i="1"/>
  <c r="H39" i="1"/>
  <c r="G35" i="1"/>
  <c r="G54" i="1"/>
  <c r="H54" i="1"/>
  <c r="G25" i="1"/>
  <c r="G32" i="1"/>
  <c r="G38" i="1"/>
  <c r="H38" i="1"/>
  <c r="G36" i="1"/>
  <c r="G46" i="1"/>
  <c r="G55" i="1"/>
  <c r="H55" i="1"/>
  <c r="G65" i="1"/>
  <c r="G70" i="1"/>
  <c r="G78" i="1"/>
  <c r="H78" i="1"/>
  <c r="G86" i="1"/>
  <c r="H86" i="1"/>
  <c r="G89" i="1"/>
  <c r="G95" i="1"/>
  <c r="G103" i="1"/>
  <c r="H103" i="1"/>
  <c r="G113" i="1"/>
  <c r="G121" i="1"/>
  <c r="G130" i="1"/>
  <c r="G138" i="1"/>
  <c r="G146" i="1"/>
  <c r="G154" i="1"/>
  <c r="G162" i="1"/>
  <c r="G170" i="1"/>
  <c r="G178" i="1"/>
  <c r="G186" i="1"/>
  <c r="G15" i="1"/>
  <c r="H15" i="1"/>
  <c r="G131" i="1"/>
  <c r="G139" i="1"/>
  <c r="G147" i="1"/>
  <c r="G155" i="1"/>
  <c r="G163" i="1"/>
  <c r="G171" i="1"/>
  <c r="G179" i="1"/>
  <c r="G187" i="1"/>
  <c r="G123" i="1"/>
  <c r="E10" i="1"/>
  <c r="E11" i="1"/>
  <c r="E12" i="1"/>
  <c r="E13" i="1"/>
  <c r="E14" i="1"/>
  <c r="E9" i="1"/>
  <c r="E4" i="1"/>
  <c r="E5" i="1"/>
  <c r="E6" i="1"/>
  <c r="E7" i="1"/>
  <c r="E8" i="1"/>
  <c r="E3" i="1"/>
  <c r="G9" i="1" l="1"/>
  <c r="H9" i="1"/>
  <c r="G14" i="1"/>
  <c r="H14" i="1"/>
  <c r="G4" i="1"/>
  <c r="H4" i="1"/>
  <c r="G3" i="1"/>
  <c r="E192" i="1"/>
  <c r="H3" i="1"/>
  <c r="H192" i="1" s="1"/>
  <c r="E189" i="1"/>
  <c r="G8" i="1"/>
  <c r="H8" i="1"/>
  <c r="G12" i="1"/>
  <c r="H12" i="1"/>
  <c r="G13" i="1"/>
  <c r="H13" i="1"/>
  <c r="G7" i="1"/>
  <c r="H7" i="1"/>
  <c r="G11" i="1"/>
  <c r="H11" i="1"/>
  <c r="G6" i="1"/>
  <c r="H6" i="1"/>
  <c r="G10" i="1"/>
  <c r="H10" i="1"/>
  <c r="G5" i="1"/>
  <c r="H5" i="1"/>
</calcChain>
</file>

<file path=xl/sharedStrings.xml><?xml version="1.0" encoding="utf-8"?>
<sst xmlns="http://schemas.openxmlformats.org/spreadsheetml/2006/main" count="162" uniqueCount="57">
  <si>
    <t xml:space="preserve">fecha </t>
  </si>
  <si>
    <t xml:space="preserve">corrales </t>
  </si>
  <si>
    <t>kg am</t>
  </si>
  <si>
    <t>kg pm</t>
  </si>
  <si>
    <t xml:space="preserve">sobrante </t>
  </si>
  <si>
    <t>kg totales</t>
  </si>
  <si>
    <t>consumos de alimento Enero</t>
  </si>
  <si>
    <t xml:space="preserve">consumo </t>
  </si>
  <si>
    <t>rechazo</t>
  </si>
  <si>
    <t>consumos de alimento Febrero</t>
  </si>
  <si>
    <t>07-02-025</t>
  </si>
  <si>
    <t>% rechazo</t>
  </si>
  <si>
    <t>promedio</t>
  </si>
  <si>
    <t>suma total</t>
  </si>
  <si>
    <t>vacas en prod.</t>
  </si>
  <si>
    <t>consumos de alimento Marzo</t>
  </si>
  <si>
    <t>07/03/025</t>
  </si>
  <si>
    <t xml:space="preserve">se destapo el silo de pastel </t>
  </si>
  <si>
    <t>consumos de alimento Abril</t>
  </si>
  <si>
    <t>07/04/025</t>
  </si>
  <si>
    <t>consumos de alimento Mayo</t>
  </si>
  <si>
    <t>07/05/025</t>
  </si>
  <si>
    <t>consumos de alimento Junio</t>
  </si>
  <si>
    <t>07/06/025</t>
  </si>
  <si>
    <t xml:space="preserve">se inicio con nueva dieta </t>
  </si>
  <si>
    <t>se inicio con el consumo de triticale</t>
  </si>
  <si>
    <t>vacas</t>
  </si>
  <si>
    <t xml:space="preserve">DIETA PARA VACAS EN PRODUCCION  </t>
  </si>
  <si>
    <t>TRITICALE</t>
  </si>
  <si>
    <r>
      <t xml:space="preserve">DIETA INTEGRAL-VACAS EN PRODUCCION - </t>
    </r>
    <r>
      <rPr>
        <b/>
        <sz val="10"/>
        <rFont val="Aptos Narrow"/>
        <family val="2"/>
        <scheme val="minor"/>
      </rPr>
      <t>ROBOTS</t>
    </r>
  </si>
  <si>
    <t>CONSUMO *DIA</t>
  </si>
  <si>
    <t>Kg. VACA</t>
  </si>
  <si>
    <t>% de ms</t>
  </si>
  <si>
    <t>Humeda</t>
  </si>
  <si>
    <t>seca</t>
  </si>
  <si>
    <t>AM/PM</t>
  </si>
  <si>
    <t>INGREDIENTES</t>
  </si>
  <si>
    <t>PATA DE CEBADA</t>
  </si>
  <si>
    <t>ORO MILK</t>
  </si>
  <si>
    <t>Melaza(50% Agua)</t>
  </si>
  <si>
    <t>Agua</t>
  </si>
  <si>
    <t>Total Dieta Integral</t>
  </si>
  <si>
    <t>kg consumido por vaca</t>
  </si>
  <si>
    <t>n° de vacas por corral</t>
  </si>
  <si>
    <t>n° de vacas</t>
  </si>
  <si>
    <t>PROMEDIO</t>
  </si>
  <si>
    <r>
      <t xml:space="preserve">DIETA INTEGRAL-VACAS EN PRODUCCION - </t>
    </r>
    <r>
      <rPr>
        <b/>
        <sz val="10"/>
        <rFont val="Aptos Narrow"/>
        <family val="2"/>
        <scheme val="minor"/>
      </rPr>
      <t>ROBOTS</t>
    </r>
    <r>
      <rPr>
        <b/>
        <sz val="10"/>
        <color theme="1"/>
        <rFont val="Aptos Narrow"/>
        <family val="2"/>
        <scheme val="minor"/>
      </rPr>
      <t xml:space="preserve"> oroMilk &amp; oroBalance</t>
    </r>
  </si>
  <si>
    <t>ORO Balance</t>
  </si>
  <si>
    <t xml:space="preserve">MINITOREO DE RTM EN PRODUCCION - MES DE JULIO </t>
  </si>
  <si>
    <t xml:space="preserve">SEMANAS </t>
  </si>
  <si>
    <t>% MS</t>
  </si>
  <si>
    <t>% MS DE RTM</t>
  </si>
  <si>
    <t>MINITOREO DE RTM EN PRODUCCION - MES DE AGOSTO</t>
  </si>
  <si>
    <t>SILO DE AVENA</t>
  </si>
  <si>
    <t>silo de MAIZ</t>
  </si>
  <si>
    <t>MAIZ MOLIDO</t>
  </si>
  <si>
    <t>Pasta se SOYA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</si>
</sst>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9" fontId="0" fillId="0" borderId="0" xfId="1" applyFont="1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7" xfId="0" applyFont="1" applyBorder="1"/>
    <xf numFmtId="0" fontId="3" fillId="0" borderId="9" xfId="0" applyFont="1" applyBorder="1"/>
    <xf numFmtId="0" fontId="3" fillId="0" borderId="2" xfId="0" applyFont="1" applyBorder="1"/>
    <xf numFmtId="0" fontId="0" fillId="0" borderId="10" xfId="0" applyBorder="1"/>
    <xf numFmtId="0" fontId="0" fillId="0" borderId="11" xfId="0" applyBorder="1"/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0" fillId="0" borderId="14" xfId="0" applyBorder="1"/>
    <xf numFmtId="0" fontId="0" fillId="0" borderId="6" xfId="0" applyBorder="1"/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0" fontId="8" fillId="0" borderId="17" xfId="2" applyNumberFormat="1" applyFont="1" applyBorder="1" applyAlignment="1">
      <alignment horizontal="center"/>
    </xf>
    <xf numFmtId="0" fontId="0" fillId="5" borderId="2" xfId="0" applyFill="1" applyBorder="1"/>
    <xf numFmtId="9" fontId="0" fillId="0" borderId="18" xfId="1" applyFont="1" applyBorder="1"/>
    <xf numFmtId="0" fontId="8" fillId="0" borderId="4" xfId="0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0" fillId="6" borderId="19" xfId="0" applyFill="1" applyBorder="1"/>
    <xf numFmtId="9" fontId="0" fillId="0" borderId="0" xfId="1" applyFont="1" applyBorder="1"/>
    <xf numFmtId="0" fontId="9" fillId="0" borderId="20" xfId="0" applyFont="1" applyBorder="1" applyAlignment="1">
      <alignment horizontal="center"/>
    </xf>
    <xf numFmtId="43" fontId="9" fillId="0" borderId="21" xfId="2" applyFont="1" applyBorder="1" applyAlignment="1">
      <alignment horizontal="center"/>
    </xf>
    <xf numFmtId="1" fontId="8" fillId="0" borderId="22" xfId="0" applyNumberFormat="1" applyFont="1" applyBorder="1" applyAlignment="1">
      <alignment horizontal="center"/>
    </xf>
    <xf numFmtId="0" fontId="0" fillId="6" borderId="23" xfId="0" applyFill="1" applyBorder="1"/>
    <xf numFmtId="9" fontId="0" fillId="0" borderId="0" xfId="1" applyFont="1" applyFill="1" applyBorder="1"/>
    <xf numFmtId="0" fontId="9" fillId="0" borderId="24" xfId="0" applyFont="1" applyBorder="1" applyAlignment="1">
      <alignment horizontal="center"/>
    </xf>
    <xf numFmtId="43" fontId="9" fillId="0" borderId="25" xfId="2" applyFont="1" applyBorder="1" applyAlignment="1">
      <alignment horizontal="center"/>
    </xf>
    <xf numFmtId="1" fontId="8" fillId="0" borderId="26" xfId="0" applyNumberFormat="1" applyFont="1" applyBorder="1" applyAlignment="1">
      <alignment horizontal="center"/>
    </xf>
    <xf numFmtId="2" fontId="9" fillId="0" borderId="24" xfId="0" applyNumberFormat="1" applyFont="1" applyBorder="1" applyAlignment="1">
      <alignment horizontal="center"/>
    </xf>
    <xf numFmtId="0" fontId="0" fillId="7" borderId="23" xfId="0" applyFill="1" applyBorder="1"/>
    <xf numFmtId="0" fontId="0" fillId="0" borderId="23" xfId="0" applyBorder="1"/>
    <xf numFmtId="2" fontId="9" fillId="6" borderId="24" xfId="0" applyNumberFormat="1" applyFont="1" applyFill="1" applyBorder="1" applyAlignment="1">
      <alignment horizontal="center"/>
    </xf>
    <xf numFmtId="0" fontId="0" fillId="0" borderId="27" xfId="0" applyBorder="1"/>
    <xf numFmtId="0" fontId="9" fillId="0" borderId="28" xfId="0" applyFont="1" applyBorder="1" applyAlignment="1">
      <alignment horizontal="center"/>
    </xf>
    <xf numFmtId="43" fontId="9" fillId="0" borderId="29" xfId="2" applyFont="1" applyBorder="1" applyAlignment="1">
      <alignment horizontal="center"/>
    </xf>
    <xf numFmtId="1" fontId="8" fillId="0" borderId="30" xfId="0" applyNumberFormat="1" applyFont="1" applyBorder="1" applyAlignment="1">
      <alignment horizontal="center"/>
    </xf>
    <xf numFmtId="0" fontId="0" fillId="0" borderId="1" xfId="0" applyBorder="1"/>
    <xf numFmtId="1" fontId="8" fillId="0" borderId="1" xfId="0" applyNumberFormat="1" applyFont="1" applyBorder="1" applyAlignment="1">
      <alignment horizontal="center"/>
    </xf>
    <xf numFmtId="164" fontId="8" fillId="0" borderId="1" xfId="2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10" fillId="0" borderId="7" xfId="0" applyFont="1" applyBorder="1"/>
    <xf numFmtId="0" fontId="10" fillId="0" borderId="2" xfId="0" applyFont="1" applyBorder="1" applyAlignment="1">
      <alignment horizontal="center"/>
    </xf>
    <xf numFmtId="0" fontId="10" fillId="0" borderId="9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8" borderId="23" xfId="0" applyFill="1" applyBorder="1"/>
    <xf numFmtId="164" fontId="9" fillId="0" borderId="25" xfId="2" applyNumberFormat="1" applyFon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9" fontId="0" fillId="0" borderId="18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0" fontId="0" fillId="6" borderId="1" xfId="0" applyFill="1" applyBorder="1"/>
    <xf numFmtId="9" fontId="0" fillId="0" borderId="1" xfId="1" applyFont="1" applyBorder="1"/>
    <xf numFmtId="0" fontId="9" fillId="0" borderId="1" xfId="0" applyFont="1" applyBorder="1" applyAlignment="1">
      <alignment horizontal="center"/>
    </xf>
    <xf numFmtId="43" fontId="9" fillId="0" borderId="1" xfId="2" applyFont="1" applyBorder="1" applyAlignment="1">
      <alignment horizontal="center"/>
    </xf>
    <xf numFmtId="0" fontId="0" fillId="6" borderId="32" xfId="0" applyFill="1" applyBorder="1"/>
    <xf numFmtId="0" fontId="9" fillId="0" borderId="22" xfId="0" applyFont="1" applyBorder="1" applyAlignment="1">
      <alignment horizontal="center"/>
    </xf>
    <xf numFmtId="43" fontId="9" fillId="0" borderId="33" xfId="2" applyFont="1" applyBorder="1" applyAlignment="1">
      <alignment horizontal="center"/>
    </xf>
    <xf numFmtId="0" fontId="0" fillId="6" borderId="34" xfId="0" applyFill="1" applyBorder="1"/>
    <xf numFmtId="0" fontId="9" fillId="0" borderId="35" xfId="0" applyFont="1" applyBorder="1" applyAlignment="1">
      <alignment horizontal="center"/>
    </xf>
    <xf numFmtId="0" fontId="0" fillId="5" borderId="0" xfId="0" applyFill="1"/>
    <xf numFmtId="2" fontId="0" fillId="0" borderId="0" xfId="0" applyNumberFormat="1"/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1EC1-1A85-45EA-A77E-A6034309D922}">
  <dimension ref="A1:H192"/>
  <sheetViews>
    <sheetView workbookViewId="0">
      <selection activeCell="I192" sqref="I192"/>
    </sheetView>
  </sheetViews>
  <sheetFormatPr baseColWidth="10" defaultRowHeight="14"/>
  <cols>
    <col min="3" max="3" width="10.9140625" style="4"/>
    <col min="4" max="4" width="13.33203125" style="4" customWidth="1"/>
    <col min="5" max="8" width="10.9140625" style="4"/>
  </cols>
  <sheetData>
    <row r="1" spans="1:8" ht="20.5" thickBot="1">
      <c r="A1" s="96" t="s">
        <v>6</v>
      </c>
      <c r="B1" s="96"/>
      <c r="C1" s="96"/>
      <c r="D1" s="96"/>
      <c r="E1" s="96"/>
      <c r="F1" s="96"/>
      <c r="G1" s="96"/>
      <c r="H1" s="96"/>
    </row>
    <row r="2" spans="1:8" ht="16" thickBot="1">
      <c r="A2" s="10" t="s">
        <v>0</v>
      </c>
      <c r="B2" s="11" t="s">
        <v>1</v>
      </c>
      <c r="C2" s="12" t="s">
        <v>2</v>
      </c>
      <c r="D2" s="12" t="s">
        <v>3</v>
      </c>
      <c r="E2" s="12" t="s">
        <v>5</v>
      </c>
      <c r="F2" s="12" t="s">
        <v>4</v>
      </c>
      <c r="G2" s="12" t="s">
        <v>7</v>
      </c>
      <c r="H2" s="13" t="s">
        <v>11</v>
      </c>
    </row>
    <row r="3" spans="1:8">
      <c r="A3" s="2">
        <v>45658</v>
      </c>
      <c r="B3">
        <v>1</v>
      </c>
      <c r="C3" s="4">
        <v>500</v>
      </c>
      <c r="D3" s="4">
        <v>500</v>
      </c>
      <c r="E3" s="4">
        <f>$C3+D3</f>
        <v>1000</v>
      </c>
      <c r="F3" s="4">
        <v>0</v>
      </c>
      <c r="G3" s="4">
        <f>$E3-F3</f>
        <v>1000</v>
      </c>
      <c r="H3" s="5">
        <f>$F3/E3</f>
        <v>0</v>
      </c>
    </row>
    <row r="4" spans="1:8">
      <c r="B4" s="3">
        <v>2</v>
      </c>
      <c r="C4" s="4">
        <v>650</v>
      </c>
      <c r="D4" s="4">
        <v>650</v>
      </c>
      <c r="E4" s="4">
        <f t="shared" ref="E4:E8" si="0">$C4+D4</f>
        <v>1300</v>
      </c>
      <c r="F4" s="4">
        <v>0</v>
      </c>
      <c r="G4" s="4">
        <f t="shared" ref="G4:G8" si="1">$E4-F4</f>
        <v>1300</v>
      </c>
      <c r="H4" s="5">
        <f t="shared" ref="H4:H67" si="2">$F4/E4</f>
        <v>0</v>
      </c>
    </row>
    <row r="5" spans="1:8">
      <c r="B5">
        <v>3</v>
      </c>
      <c r="C5" s="4">
        <v>600</v>
      </c>
      <c r="D5" s="4">
        <v>600</v>
      </c>
      <c r="E5" s="4">
        <f t="shared" si="0"/>
        <v>1200</v>
      </c>
      <c r="F5" s="4">
        <v>0</v>
      </c>
      <c r="G5" s="4">
        <f t="shared" si="1"/>
        <v>1200</v>
      </c>
      <c r="H5" s="5">
        <f t="shared" si="2"/>
        <v>0</v>
      </c>
    </row>
    <row r="6" spans="1:8">
      <c r="B6" s="3">
        <v>4</v>
      </c>
      <c r="C6" s="4">
        <v>650</v>
      </c>
      <c r="D6" s="4">
        <v>650</v>
      </c>
      <c r="E6" s="4">
        <f t="shared" si="0"/>
        <v>1300</v>
      </c>
      <c r="F6" s="4">
        <v>10</v>
      </c>
      <c r="G6" s="4">
        <f t="shared" si="1"/>
        <v>1290</v>
      </c>
      <c r="H6" s="5">
        <f t="shared" si="2"/>
        <v>7.6923076923076927E-3</v>
      </c>
    </row>
    <row r="7" spans="1:8">
      <c r="B7" s="3">
        <v>5</v>
      </c>
      <c r="C7" s="4">
        <v>600</v>
      </c>
      <c r="D7" s="4">
        <v>600</v>
      </c>
      <c r="E7" s="4">
        <f t="shared" si="0"/>
        <v>1200</v>
      </c>
      <c r="F7" s="4">
        <v>0</v>
      </c>
      <c r="G7" s="4">
        <f t="shared" si="1"/>
        <v>1200</v>
      </c>
      <c r="H7" s="5">
        <f t="shared" si="2"/>
        <v>0</v>
      </c>
    </row>
    <row r="8" spans="1:8">
      <c r="B8">
        <v>6</v>
      </c>
      <c r="C8" s="4">
        <v>1000</v>
      </c>
      <c r="D8" s="4">
        <v>1000</v>
      </c>
      <c r="E8" s="4">
        <f t="shared" si="0"/>
        <v>2000</v>
      </c>
      <c r="F8" s="4">
        <v>0</v>
      </c>
      <c r="G8" s="4">
        <f t="shared" si="1"/>
        <v>2000</v>
      </c>
      <c r="H8" s="5">
        <f t="shared" si="2"/>
        <v>0</v>
      </c>
    </row>
    <row r="9" spans="1:8">
      <c r="A9" s="2">
        <v>45659</v>
      </c>
      <c r="B9">
        <v>1</v>
      </c>
      <c r="C9" s="4">
        <v>550</v>
      </c>
      <c r="D9" s="4">
        <v>550</v>
      </c>
      <c r="E9" s="4">
        <f>$C9+D9</f>
        <v>1100</v>
      </c>
      <c r="F9" s="4">
        <v>110</v>
      </c>
      <c r="G9" s="4">
        <f>$E9-F9</f>
        <v>990</v>
      </c>
      <c r="H9" s="5">
        <f t="shared" si="2"/>
        <v>0.1</v>
      </c>
    </row>
    <row r="10" spans="1:8">
      <c r="B10" s="3">
        <v>2</v>
      </c>
      <c r="C10" s="4">
        <v>650</v>
      </c>
      <c r="D10" s="4">
        <v>650</v>
      </c>
      <c r="E10" s="4">
        <f t="shared" ref="E10:E14" si="3">$C10+D10</f>
        <v>1300</v>
      </c>
      <c r="F10" s="4">
        <v>130</v>
      </c>
      <c r="G10" s="4">
        <f t="shared" ref="G10:G14" si="4">$E10-F10</f>
        <v>1170</v>
      </c>
      <c r="H10" s="5">
        <f t="shared" si="2"/>
        <v>0.1</v>
      </c>
    </row>
    <row r="11" spans="1:8">
      <c r="B11">
        <v>3</v>
      </c>
      <c r="C11" s="4">
        <v>600</v>
      </c>
      <c r="D11" s="4">
        <v>600</v>
      </c>
      <c r="E11" s="4">
        <f t="shared" si="3"/>
        <v>1200</v>
      </c>
      <c r="F11" s="4">
        <v>80</v>
      </c>
      <c r="G11" s="4">
        <f t="shared" si="4"/>
        <v>1120</v>
      </c>
      <c r="H11" s="5">
        <f t="shared" si="2"/>
        <v>6.6666666666666666E-2</v>
      </c>
    </row>
    <row r="12" spans="1:8">
      <c r="B12" s="3">
        <v>4</v>
      </c>
      <c r="C12" s="4">
        <v>650</v>
      </c>
      <c r="D12" s="4">
        <v>650</v>
      </c>
      <c r="E12" s="4">
        <f t="shared" si="3"/>
        <v>1300</v>
      </c>
      <c r="F12" s="4">
        <v>220</v>
      </c>
      <c r="G12" s="4">
        <f t="shared" si="4"/>
        <v>1080</v>
      </c>
      <c r="H12" s="5">
        <f t="shared" si="2"/>
        <v>0.16923076923076924</v>
      </c>
    </row>
    <row r="13" spans="1:8">
      <c r="B13" s="3">
        <v>5</v>
      </c>
      <c r="C13" s="4">
        <v>600</v>
      </c>
      <c r="D13" s="4">
        <v>600</v>
      </c>
      <c r="E13" s="4">
        <f t="shared" si="3"/>
        <v>1200</v>
      </c>
      <c r="F13" s="4">
        <v>150</v>
      </c>
      <c r="G13" s="4">
        <f t="shared" si="4"/>
        <v>1050</v>
      </c>
      <c r="H13" s="5">
        <f t="shared" si="2"/>
        <v>0.125</v>
      </c>
    </row>
    <row r="14" spans="1:8">
      <c r="B14">
        <v>6</v>
      </c>
      <c r="C14" s="4">
        <v>900</v>
      </c>
      <c r="D14" s="4">
        <v>900</v>
      </c>
      <c r="E14" s="4">
        <f t="shared" si="3"/>
        <v>1800</v>
      </c>
      <c r="F14" s="4">
        <v>20</v>
      </c>
      <c r="G14" s="4">
        <f t="shared" si="4"/>
        <v>1780</v>
      </c>
      <c r="H14" s="5">
        <f t="shared" si="2"/>
        <v>1.1111111111111112E-2</v>
      </c>
    </row>
    <row r="15" spans="1:8">
      <c r="A15" s="2">
        <v>45660</v>
      </c>
      <c r="B15">
        <v>1</v>
      </c>
      <c r="C15" s="4">
        <v>550</v>
      </c>
      <c r="D15" s="4">
        <v>500</v>
      </c>
      <c r="E15" s="4">
        <f>$C15+D15</f>
        <v>1050</v>
      </c>
      <c r="F15" s="4">
        <v>40</v>
      </c>
      <c r="G15" s="4">
        <f>$E15-F15</f>
        <v>1010</v>
      </c>
      <c r="H15" s="5">
        <f t="shared" si="2"/>
        <v>3.8095238095238099E-2</v>
      </c>
    </row>
    <row r="16" spans="1:8">
      <c r="B16" s="3">
        <v>2</v>
      </c>
      <c r="C16" s="4">
        <v>650</v>
      </c>
      <c r="D16" s="4">
        <v>650</v>
      </c>
      <c r="E16" s="4">
        <f t="shared" ref="E16:E82" si="5">$C16+D16</f>
        <v>1300</v>
      </c>
      <c r="F16" s="4">
        <v>35</v>
      </c>
      <c r="G16" s="4">
        <f t="shared" ref="G16:G101" si="6">$E16-F16</f>
        <v>1265</v>
      </c>
      <c r="H16" s="5">
        <f t="shared" si="2"/>
        <v>2.6923076923076925E-2</v>
      </c>
    </row>
    <row r="17" spans="1:8">
      <c r="B17">
        <v>3</v>
      </c>
      <c r="C17" s="4">
        <v>600</v>
      </c>
      <c r="D17" s="4">
        <v>600</v>
      </c>
      <c r="E17" s="4">
        <f t="shared" si="5"/>
        <v>1200</v>
      </c>
      <c r="F17" s="4">
        <v>45</v>
      </c>
      <c r="G17" s="4">
        <f t="shared" si="6"/>
        <v>1155</v>
      </c>
      <c r="H17" s="5">
        <f t="shared" si="2"/>
        <v>3.7499999999999999E-2</v>
      </c>
    </row>
    <row r="18" spans="1:8">
      <c r="B18" s="3">
        <v>4</v>
      </c>
      <c r="C18" s="4">
        <v>650</v>
      </c>
      <c r="D18" s="4">
        <v>650</v>
      </c>
      <c r="E18" s="4">
        <f t="shared" si="5"/>
        <v>1300</v>
      </c>
      <c r="F18" s="4">
        <v>15</v>
      </c>
      <c r="G18" s="4">
        <f t="shared" si="6"/>
        <v>1285</v>
      </c>
      <c r="H18" s="5">
        <f t="shared" si="2"/>
        <v>1.1538461538461539E-2</v>
      </c>
    </row>
    <row r="19" spans="1:8">
      <c r="B19" s="3">
        <v>5</v>
      </c>
      <c r="C19" s="4">
        <v>600</v>
      </c>
      <c r="D19" s="4">
        <v>600</v>
      </c>
      <c r="E19" s="4">
        <f t="shared" si="5"/>
        <v>1200</v>
      </c>
      <c r="F19" s="4">
        <v>75</v>
      </c>
      <c r="G19" s="4">
        <f t="shared" si="6"/>
        <v>1125</v>
      </c>
      <c r="H19" s="5">
        <f t="shared" si="2"/>
        <v>6.25E-2</v>
      </c>
    </row>
    <row r="20" spans="1:8">
      <c r="B20">
        <v>6</v>
      </c>
      <c r="C20" s="4">
        <v>900</v>
      </c>
      <c r="D20" s="4">
        <v>900</v>
      </c>
      <c r="E20" s="4">
        <f t="shared" si="5"/>
        <v>1800</v>
      </c>
      <c r="F20" s="4">
        <v>65</v>
      </c>
      <c r="G20" s="4">
        <f t="shared" si="6"/>
        <v>1735</v>
      </c>
      <c r="H20" s="5">
        <f t="shared" si="2"/>
        <v>3.6111111111111108E-2</v>
      </c>
    </row>
    <row r="21" spans="1:8">
      <c r="A21" s="2">
        <v>45661</v>
      </c>
      <c r="B21">
        <v>1</v>
      </c>
      <c r="C21" s="4">
        <v>550</v>
      </c>
      <c r="D21" s="4">
        <v>550</v>
      </c>
      <c r="E21" s="4">
        <f t="shared" si="5"/>
        <v>1100</v>
      </c>
      <c r="F21" s="4">
        <v>0</v>
      </c>
      <c r="G21" s="4">
        <f t="shared" si="6"/>
        <v>1100</v>
      </c>
      <c r="H21" s="5">
        <f t="shared" si="2"/>
        <v>0</v>
      </c>
    </row>
    <row r="22" spans="1:8">
      <c r="B22" s="3">
        <v>2</v>
      </c>
      <c r="C22" s="4">
        <v>650</v>
      </c>
      <c r="D22" s="4">
        <v>650</v>
      </c>
      <c r="E22" s="4">
        <f t="shared" si="5"/>
        <v>1300</v>
      </c>
      <c r="F22" s="4">
        <v>15</v>
      </c>
      <c r="G22" s="4">
        <f t="shared" si="6"/>
        <v>1285</v>
      </c>
      <c r="H22" s="5">
        <f t="shared" si="2"/>
        <v>1.1538461538461539E-2</v>
      </c>
    </row>
    <row r="23" spans="1:8">
      <c r="B23">
        <v>3</v>
      </c>
      <c r="C23" s="4">
        <v>600</v>
      </c>
      <c r="D23" s="4">
        <v>600</v>
      </c>
      <c r="E23" s="4">
        <f t="shared" si="5"/>
        <v>1200</v>
      </c>
      <c r="F23" s="4">
        <v>130</v>
      </c>
      <c r="G23" s="4">
        <f t="shared" si="6"/>
        <v>1070</v>
      </c>
      <c r="H23" s="5">
        <f t="shared" si="2"/>
        <v>0.10833333333333334</v>
      </c>
    </row>
    <row r="24" spans="1:8">
      <c r="B24" s="3">
        <v>4</v>
      </c>
      <c r="C24" s="4">
        <v>650</v>
      </c>
      <c r="D24" s="4">
        <v>650</v>
      </c>
      <c r="E24" s="4">
        <f t="shared" si="5"/>
        <v>1300</v>
      </c>
      <c r="F24" s="4">
        <v>55</v>
      </c>
      <c r="G24" s="4">
        <f t="shared" si="6"/>
        <v>1245</v>
      </c>
      <c r="H24" s="5">
        <f t="shared" si="2"/>
        <v>4.230769230769231E-2</v>
      </c>
    </row>
    <row r="25" spans="1:8">
      <c r="B25" s="3">
        <v>5</v>
      </c>
      <c r="C25" s="4">
        <v>600</v>
      </c>
      <c r="D25" s="4">
        <v>600</v>
      </c>
      <c r="E25" s="4">
        <f t="shared" si="5"/>
        <v>1200</v>
      </c>
      <c r="F25" s="4">
        <v>145</v>
      </c>
      <c r="G25" s="4">
        <f t="shared" si="6"/>
        <v>1055</v>
      </c>
      <c r="H25" s="5">
        <f t="shared" si="2"/>
        <v>0.12083333333333333</v>
      </c>
    </row>
    <row r="26" spans="1:8">
      <c r="B26">
        <v>6</v>
      </c>
      <c r="C26" s="4">
        <v>900</v>
      </c>
      <c r="D26" s="4">
        <v>900</v>
      </c>
      <c r="E26" s="4">
        <f t="shared" si="5"/>
        <v>1800</v>
      </c>
      <c r="F26" s="4">
        <v>50</v>
      </c>
      <c r="G26" s="4">
        <f t="shared" si="6"/>
        <v>1750</v>
      </c>
      <c r="H26" s="5">
        <f t="shared" si="2"/>
        <v>2.7777777777777776E-2</v>
      </c>
    </row>
    <row r="27" spans="1:8">
      <c r="A27" s="2">
        <v>45662</v>
      </c>
      <c r="B27">
        <v>1</v>
      </c>
      <c r="C27" s="4">
        <v>550</v>
      </c>
      <c r="D27" s="4">
        <v>550</v>
      </c>
      <c r="E27" s="4">
        <f t="shared" si="5"/>
        <v>1100</v>
      </c>
      <c r="F27" s="4">
        <v>65</v>
      </c>
      <c r="G27" s="4">
        <f t="shared" si="6"/>
        <v>1035</v>
      </c>
      <c r="H27" s="5">
        <f t="shared" si="2"/>
        <v>5.909090909090909E-2</v>
      </c>
    </row>
    <row r="28" spans="1:8">
      <c r="B28" s="3">
        <v>2</v>
      </c>
      <c r="C28" s="4">
        <v>650</v>
      </c>
      <c r="D28" s="4">
        <v>650</v>
      </c>
      <c r="E28" s="4">
        <f t="shared" si="5"/>
        <v>1300</v>
      </c>
      <c r="F28" s="4">
        <v>70</v>
      </c>
      <c r="G28" s="4">
        <f t="shared" si="6"/>
        <v>1230</v>
      </c>
      <c r="H28" s="5">
        <f t="shared" si="2"/>
        <v>5.3846153846153849E-2</v>
      </c>
    </row>
    <row r="29" spans="1:8">
      <c r="B29">
        <v>3</v>
      </c>
      <c r="C29" s="4">
        <v>600</v>
      </c>
      <c r="D29" s="4">
        <v>600</v>
      </c>
      <c r="E29" s="4">
        <f t="shared" si="5"/>
        <v>1200</v>
      </c>
      <c r="F29" s="4">
        <v>110</v>
      </c>
      <c r="G29" s="4">
        <f t="shared" si="6"/>
        <v>1090</v>
      </c>
      <c r="H29" s="5">
        <f t="shared" si="2"/>
        <v>9.166666666666666E-2</v>
      </c>
    </row>
    <row r="30" spans="1:8">
      <c r="B30" s="3">
        <v>4</v>
      </c>
      <c r="C30" s="4">
        <v>650</v>
      </c>
      <c r="D30" s="4">
        <v>650</v>
      </c>
      <c r="E30" s="4">
        <f t="shared" si="5"/>
        <v>1300</v>
      </c>
      <c r="F30" s="4">
        <v>25</v>
      </c>
      <c r="G30" s="4">
        <f t="shared" si="6"/>
        <v>1275</v>
      </c>
      <c r="H30" s="5">
        <f t="shared" si="2"/>
        <v>1.9230769230769232E-2</v>
      </c>
    </row>
    <row r="31" spans="1:8">
      <c r="B31" s="3">
        <v>5</v>
      </c>
      <c r="C31" s="4">
        <v>600</v>
      </c>
      <c r="D31" s="4">
        <v>600</v>
      </c>
      <c r="E31" s="4">
        <f t="shared" si="5"/>
        <v>1200</v>
      </c>
      <c r="F31" s="4">
        <v>160</v>
      </c>
      <c r="G31" s="4">
        <f t="shared" si="6"/>
        <v>1040</v>
      </c>
      <c r="H31" s="5">
        <f t="shared" si="2"/>
        <v>0.13333333333333333</v>
      </c>
    </row>
    <row r="32" spans="1:8">
      <c r="B32">
        <v>6</v>
      </c>
      <c r="C32" s="4">
        <v>900</v>
      </c>
      <c r="D32" s="4">
        <v>900</v>
      </c>
      <c r="E32" s="4">
        <f t="shared" si="5"/>
        <v>1800</v>
      </c>
      <c r="F32" s="4">
        <v>75</v>
      </c>
      <c r="G32" s="4">
        <f t="shared" si="6"/>
        <v>1725</v>
      </c>
      <c r="H32" s="5">
        <f t="shared" si="2"/>
        <v>4.1666666666666664E-2</v>
      </c>
    </row>
    <row r="33" spans="1:8">
      <c r="A33" s="2">
        <v>45663</v>
      </c>
      <c r="B33">
        <v>1</v>
      </c>
      <c r="C33" s="4">
        <v>550</v>
      </c>
      <c r="D33" s="4">
        <v>550</v>
      </c>
      <c r="E33" s="4">
        <f t="shared" si="5"/>
        <v>1100</v>
      </c>
      <c r="F33" s="4">
        <v>100</v>
      </c>
      <c r="G33" s="4">
        <f t="shared" si="6"/>
        <v>1000</v>
      </c>
      <c r="H33" s="5">
        <f t="shared" si="2"/>
        <v>9.0909090909090912E-2</v>
      </c>
    </row>
    <row r="34" spans="1:8">
      <c r="B34" s="3">
        <v>2</v>
      </c>
      <c r="C34" s="4">
        <v>650</v>
      </c>
      <c r="D34" s="4">
        <v>650</v>
      </c>
      <c r="E34" s="4">
        <f t="shared" si="5"/>
        <v>1300</v>
      </c>
      <c r="F34" s="4">
        <v>0</v>
      </c>
      <c r="G34" s="4">
        <f t="shared" si="6"/>
        <v>1300</v>
      </c>
      <c r="H34" s="5">
        <f t="shared" si="2"/>
        <v>0</v>
      </c>
    </row>
    <row r="35" spans="1:8">
      <c r="B35">
        <v>3</v>
      </c>
      <c r="C35" s="4">
        <v>600</v>
      </c>
      <c r="D35" s="4">
        <v>600</v>
      </c>
      <c r="E35" s="4">
        <f t="shared" si="5"/>
        <v>1200</v>
      </c>
      <c r="F35" s="4">
        <v>200</v>
      </c>
      <c r="G35" s="4">
        <f t="shared" si="6"/>
        <v>1000</v>
      </c>
      <c r="H35" s="5">
        <f t="shared" si="2"/>
        <v>0.16666666666666666</v>
      </c>
    </row>
    <row r="36" spans="1:8">
      <c r="B36" s="3">
        <v>4</v>
      </c>
      <c r="C36" s="4">
        <v>650</v>
      </c>
      <c r="D36" s="4">
        <v>600</v>
      </c>
      <c r="E36" s="4">
        <f t="shared" si="5"/>
        <v>1250</v>
      </c>
      <c r="F36" s="4">
        <v>120</v>
      </c>
      <c r="G36" s="4">
        <f t="shared" si="6"/>
        <v>1130</v>
      </c>
      <c r="H36" s="5">
        <f t="shared" si="2"/>
        <v>9.6000000000000002E-2</v>
      </c>
    </row>
    <row r="37" spans="1:8">
      <c r="B37" s="3">
        <v>5</v>
      </c>
      <c r="C37" s="4">
        <v>600</v>
      </c>
      <c r="D37" s="4">
        <v>600</v>
      </c>
      <c r="E37" s="4">
        <f t="shared" si="5"/>
        <v>1200</v>
      </c>
      <c r="F37" s="4">
        <v>250</v>
      </c>
      <c r="G37" s="4">
        <f t="shared" si="6"/>
        <v>950</v>
      </c>
      <c r="H37" s="5">
        <f t="shared" si="2"/>
        <v>0.20833333333333334</v>
      </c>
    </row>
    <row r="38" spans="1:8">
      <c r="B38">
        <v>6</v>
      </c>
      <c r="C38" s="4">
        <v>900</v>
      </c>
      <c r="D38" s="4">
        <v>900</v>
      </c>
      <c r="E38" s="4">
        <f t="shared" si="5"/>
        <v>1800</v>
      </c>
      <c r="F38" s="4">
        <v>180</v>
      </c>
      <c r="G38" s="4">
        <f t="shared" si="6"/>
        <v>1620</v>
      </c>
      <c r="H38" s="5">
        <f t="shared" si="2"/>
        <v>0.1</v>
      </c>
    </row>
    <row r="39" spans="1:8">
      <c r="A39" s="2">
        <v>45664</v>
      </c>
      <c r="B39">
        <v>1</v>
      </c>
      <c r="C39" s="4">
        <v>550</v>
      </c>
      <c r="D39" s="4">
        <v>550</v>
      </c>
      <c r="E39" s="4">
        <f t="shared" si="5"/>
        <v>1100</v>
      </c>
      <c r="F39" s="4">
        <v>10</v>
      </c>
      <c r="G39" s="4">
        <f t="shared" si="6"/>
        <v>1090</v>
      </c>
      <c r="H39" s="5">
        <f t="shared" si="2"/>
        <v>9.0909090909090905E-3</v>
      </c>
    </row>
    <row r="40" spans="1:8">
      <c r="B40" s="3">
        <v>2</v>
      </c>
      <c r="C40" s="4">
        <v>650</v>
      </c>
      <c r="D40" s="4">
        <v>650</v>
      </c>
      <c r="E40" s="4">
        <f t="shared" si="5"/>
        <v>1300</v>
      </c>
      <c r="F40" s="4">
        <v>15</v>
      </c>
      <c r="G40" s="4">
        <f t="shared" si="6"/>
        <v>1285</v>
      </c>
      <c r="H40" s="5">
        <f t="shared" si="2"/>
        <v>1.1538461538461539E-2</v>
      </c>
    </row>
    <row r="41" spans="1:8">
      <c r="B41">
        <v>3</v>
      </c>
      <c r="C41" s="4">
        <v>600</v>
      </c>
      <c r="D41" s="4">
        <v>600</v>
      </c>
      <c r="E41" s="4">
        <f t="shared" si="5"/>
        <v>1200</v>
      </c>
      <c r="F41" s="4">
        <v>180</v>
      </c>
      <c r="G41" s="4">
        <f t="shared" si="6"/>
        <v>1020</v>
      </c>
      <c r="H41" s="5">
        <f t="shared" si="2"/>
        <v>0.15</v>
      </c>
    </row>
    <row r="42" spans="1:8">
      <c r="B42" s="3">
        <v>4</v>
      </c>
      <c r="C42" s="4">
        <v>650</v>
      </c>
      <c r="D42" s="4">
        <v>650</v>
      </c>
      <c r="E42" s="4">
        <f t="shared" si="5"/>
        <v>1300</v>
      </c>
      <c r="F42" s="4">
        <v>35</v>
      </c>
      <c r="G42" s="4">
        <f t="shared" si="6"/>
        <v>1265</v>
      </c>
      <c r="H42" s="5">
        <f t="shared" si="2"/>
        <v>2.6923076923076925E-2</v>
      </c>
    </row>
    <row r="43" spans="1:8">
      <c r="B43" s="3">
        <v>5</v>
      </c>
      <c r="C43" s="4">
        <v>600</v>
      </c>
      <c r="D43" s="4">
        <v>500</v>
      </c>
      <c r="E43" s="4">
        <f t="shared" si="5"/>
        <v>1100</v>
      </c>
      <c r="F43" s="4">
        <v>160</v>
      </c>
      <c r="G43" s="4">
        <f t="shared" si="6"/>
        <v>940</v>
      </c>
      <c r="H43" s="5">
        <f t="shared" si="2"/>
        <v>0.14545454545454545</v>
      </c>
    </row>
    <row r="44" spans="1:8">
      <c r="B44">
        <v>6</v>
      </c>
      <c r="C44" s="4">
        <v>900</v>
      </c>
      <c r="D44" s="4">
        <v>900</v>
      </c>
      <c r="E44" s="4">
        <f t="shared" si="5"/>
        <v>1800</v>
      </c>
      <c r="F44" s="4">
        <v>50</v>
      </c>
      <c r="G44" s="4">
        <f t="shared" si="6"/>
        <v>1750</v>
      </c>
      <c r="H44" s="5">
        <f t="shared" si="2"/>
        <v>2.7777777777777776E-2</v>
      </c>
    </row>
    <row r="45" spans="1:8">
      <c r="A45" s="2">
        <v>45665</v>
      </c>
      <c r="B45">
        <v>1</v>
      </c>
      <c r="C45" s="4">
        <v>550</v>
      </c>
      <c r="D45" s="4">
        <v>550</v>
      </c>
      <c r="E45" s="4">
        <f t="shared" si="5"/>
        <v>1100</v>
      </c>
      <c r="F45" s="4">
        <v>45</v>
      </c>
      <c r="G45" s="4">
        <f t="shared" si="6"/>
        <v>1055</v>
      </c>
      <c r="H45" s="5">
        <f t="shared" si="2"/>
        <v>4.0909090909090909E-2</v>
      </c>
    </row>
    <row r="46" spans="1:8">
      <c r="B46" s="3">
        <v>2</v>
      </c>
      <c r="C46" s="4">
        <v>650</v>
      </c>
      <c r="D46" s="4">
        <v>650</v>
      </c>
      <c r="E46" s="4">
        <f t="shared" si="5"/>
        <v>1300</v>
      </c>
      <c r="F46" s="4">
        <v>0</v>
      </c>
      <c r="G46" s="4">
        <f t="shared" si="6"/>
        <v>1300</v>
      </c>
      <c r="H46" s="5">
        <f t="shared" si="2"/>
        <v>0</v>
      </c>
    </row>
    <row r="47" spans="1:8">
      <c r="B47">
        <v>3</v>
      </c>
      <c r="C47" s="4">
        <v>600</v>
      </c>
      <c r="D47" s="4">
        <v>650</v>
      </c>
      <c r="E47" s="4">
        <f t="shared" si="5"/>
        <v>1250</v>
      </c>
      <c r="F47" s="4">
        <v>30</v>
      </c>
      <c r="G47" s="4">
        <f t="shared" si="6"/>
        <v>1220</v>
      </c>
      <c r="H47" s="5">
        <f t="shared" si="2"/>
        <v>2.4E-2</v>
      </c>
    </row>
    <row r="48" spans="1:8">
      <c r="B48" s="3">
        <v>4</v>
      </c>
      <c r="C48" s="4">
        <v>650</v>
      </c>
      <c r="D48" s="4">
        <v>600</v>
      </c>
      <c r="E48" s="4">
        <f t="shared" si="5"/>
        <v>1250</v>
      </c>
      <c r="F48" s="4">
        <v>50</v>
      </c>
      <c r="G48" s="4">
        <f t="shared" si="6"/>
        <v>1200</v>
      </c>
      <c r="H48" s="5">
        <f t="shared" si="2"/>
        <v>0.04</v>
      </c>
    </row>
    <row r="49" spans="1:8">
      <c r="B49" s="3">
        <v>5</v>
      </c>
      <c r="C49" s="4">
        <v>600</v>
      </c>
      <c r="D49" s="4">
        <v>650</v>
      </c>
      <c r="E49" s="4">
        <f t="shared" si="5"/>
        <v>1250</v>
      </c>
      <c r="F49" s="4">
        <v>90</v>
      </c>
      <c r="G49" s="4">
        <f t="shared" si="6"/>
        <v>1160</v>
      </c>
      <c r="H49" s="5">
        <f t="shared" si="2"/>
        <v>7.1999999999999995E-2</v>
      </c>
    </row>
    <row r="50" spans="1:8">
      <c r="B50">
        <v>6</v>
      </c>
      <c r="C50" s="4">
        <v>900</v>
      </c>
      <c r="D50" s="4">
        <v>850</v>
      </c>
      <c r="E50" s="4">
        <f t="shared" si="5"/>
        <v>1750</v>
      </c>
      <c r="F50" s="4">
        <v>75</v>
      </c>
      <c r="G50" s="4">
        <f t="shared" si="6"/>
        <v>1675</v>
      </c>
      <c r="H50" s="5">
        <f t="shared" si="2"/>
        <v>4.2857142857142858E-2</v>
      </c>
    </row>
    <row r="51" spans="1:8">
      <c r="A51" s="2">
        <v>45666</v>
      </c>
      <c r="B51">
        <v>1</v>
      </c>
      <c r="C51" s="4">
        <v>600</v>
      </c>
      <c r="D51" s="4">
        <v>700</v>
      </c>
      <c r="E51" s="4">
        <f t="shared" si="5"/>
        <v>1300</v>
      </c>
      <c r="F51" s="4">
        <v>75</v>
      </c>
      <c r="G51" s="4">
        <f t="shared" si="6"/>
        <v>1225</v>
      </c>
      <c r="H51" s="5">
        <f t="shared" si="2"/>
        <v>5.7692307692307696E-2</v>
      </c>
    </row>
    <row r="52" spans="1:8">
      <c r="B52" s="3">
        <v>2</v>
      </c>
      <c r="C52" s="4">
        <v>700</v>
      </c>
      <c r="D52" s="4">
        <v>750</v>
      </c>
      <c r="E52" s="4">
        <f t="shared" si="5"/>
        <v>1450</v>
      </c>
      <c r="F52" s="4">
        <v>30</v>
      </c>
      <c r="G52" s="4">
        <f t="shared" si="6"/>
        <v>1420</v>
      </c>
      <c r="H52" s="5">
        <f t="shared" si="2"/>
        <v>2.0689655172413793E-2</v>
      </c>
    </row>
    <row r="53" spans="1:8">
      <c r="B53">
        <v>3</v>
      </c>
      <c r="C53" s="4">
        <v>700</v>
      </c>
      <c r="D53" s="4">
        <v>750</v>
      </c>
      <c r="E53" s="4">
        <f t="shared" si="5"/>
        <v>1450</v>
      </c>
      <c r="F53" s="4">
        <v>115</v>
      </c>
      <c r="G53" s="4">
        <f t="shared" si="6"/>
        <v>1335</v>
      </c>
      <c r="H53" s="5">
        <f t="shared" si="2"/>
        <v>7.9310344827586213E-2</v>
      </c>
    </row>
    <row r="54" spans="1:8">
      <c r="B54" s="3">
        <v>4</v>
      </c>
      <c r="C54" s="4">
        <v>700</v>
      </c>
      <c r="D54" s="4">
        <v>750</v>
      </c>
      <c r="E54" s="4">
        <f t="shared" si="5"/>
        <v>1450</v>
      </c>
      <c r="F54" s="4">
        <v>95</v>
      </c>
      <c r="G54" s="4">
        <f t="shared" si="6"/>
        <v>1355</v>
      </c>
      <c r="H54" s="5">
        <f t="shared" si="2"/>
        <v>6.5517241379310351E-2</v>
      </c>
    </row>
    <row r="55" spans="1:8">
      <c r="B55" s="3">
        <v>5</v>
      </c>
      <c r="C55" s="4">
        <v>600</v>
      </c>
      <c r="D55" s="4">
        <v>600</v>
      </c>
      <c r="E55" s="4">
        <f t="shared" si="5"/>
        <v>1200</v>
      </c>
      <c r="F55" s="4">
        <v>360</v>
      </c>
      <c r="G55" s="4">
        <f t="shared" si="6"/>
        <v>840</v>
      </c>
      <c r="H55" s="5">
        <f t="shared" si="2"/>
        <v>0.3</v>
      </c>
    </row>
    <row r="56" spans="1:8">
      <c r="B56">
        <v>6</v>
      </c>
      <c r="C56" s="4">
        <v>900</v>
      </c>
      <c r="D56" s="4">
        <v>900</v>
      </c>
      <c r="E56" s="4">
        <f t="shared" si="5"/>
        <v>1800</v>
      </c>
      <c r="F56" s="4">
        <v>135</v>
      </c>
      <c r="G56" s="4">
        <f t="shared" si="6"/>
        <v>1665</v>
      </c>
      <c r="H56" s="5">
        <f t="shared" si="2"/>
        <v>7.4999999999999997E-2</v>
      </c>
    </row>
    <row r="57" spans="1:8">
      <c r="A57" s="2">
        <v>45667</v>
      </c>
      <c r="B57">
        <v>1</v>
      </c>
      <c r="C57" s="4">
        <v>650</v>
      </c>
      <c r="D57" s="4">
        <v>600</v>
      </c>
      <c r="E57" s="4">
        <f t="shared" si="5"/>
        <v>1250</v>
      </c>
      <c r="F57" s="4">
        <v>40</v>
      </c>
      <c r="G57" s="4">
        <f t="shared" si="6"/>
        <v>1210</v>
      </c>
      <c r="H57" s="5">
        <f t="shared" si="2"/>
        <v>3.2000000000000001E-2</v>
      </c>
    </row>
    <row r="58" spans="1:8">
      <c r="B58" s="3">
        <v>2</v>
      </c>
      <c r="C58" s="4">
        <v>700</v>
      </c>
      <c r="D58" s="4">
        <v>650</v>
      </c>
      <c r="E58" s="4">
        <f t="shared" si="5"/>
        <v>1350</v>
      </c>
      <c r="F58" s="4">
        <v>0</v>
      </c>
      <c r="G58" s="4">
        <f t="shared" si="6"/>
        <v>1350</v>
      </c>
      <c r="H58" s="5">
        <f t="shared" si="2"/>
        <v>0</v>
      </c>
    </row>
    <row r="59" spans="1:8">
      <c r="B59">
        <v>3</v>
      </c>
      <c r="C59" s="4">
        <v>700</v>
      </c>
      <c r="D59" s="4">
        <v>650</v>
      </c>
      <c r="E59" s="4">
        <f t="shared" si="5"/>
        <v>1350</v>
      </c>
      <c r="F59" s="4">
        <v>100</v>
      </c>
      <c r="G59" s="4">
        <f t="shared" si="6"/>
        <v>1250</v>
      </c>
      <c r="H59" s="5">
        <f t="shared" si="2"/>
        <v>7.407407407407407E-2</v>
      </c>
    </row>
    <row r="60" spans="1:8">
      <c r="B60" s="3">
        <v>4</v>
      </c>
      <c r="C60" s="4">
        <v>700</v>
      </c>
      <c r="D60" s="4">
        <v>650</v>
      </c>
      <c r="E60" s="4">
        <f t="shared" si="5"/>
        <v>1350</v>
      </c>
      <c r="F60" s="4">
        <v>40</v>
      </c>
      <c r="G60" s="4">
        <f t="shared" si="6"/>
        <v>1310</v>
      </c>
      <c r="H60" s="5">
        <f t="shared" si="2"/>
        <v>2.9629629629629631E-2</v>
      </c>
    </row>
    <row r="61" spans="1:8">
      <c r="B61" s="3">
        <v>5</v>
      </c>
      <c r="C61" s="4">
        <v>600</v>
      </c>
      <c r="D61" s="4">
        <v>500</v>
      </c>
      <c r="E61" s="4">
        <f t="shared" si="5"/>
        <v>1100</v>
      </c>
      <c r="F61" s="4">
        <v>210</v>
      </c>
      <c r="G61" s="4">
        <f t="shared" si="6"/>
        <v>890</v>
      </c>
      <c r="H61" s="5">
        <f t="shared" si="2"/>
        <v>0.19090909090909092</v>
      </c>
    </row>
    <row r="62" spans="1:8">
      <c r="B62">
        <v>6</v>
      </c>
      <c r="C62" s="4">
        <v>900</v>
      </c>
      <c r="D62" s="4">
        <v>850</v>
      </c>
      <c r="E62" s="4">
        <f t="shared" si="5"/>
        <v>1750</v>
      </c>
      <c r="F62" s="4">
        <v>0</v>
      </c>
      <c r="G62" s="4">
        <f t="shared" si="6"/>
        <v>1750</v>
      </c>
      <c r="H62" s="5">
        <f t="shared" si="2"/>
        <v>0</v>
      </c>
    </row>
    <row r="63" spans="1:8">
      <c r="A63" s="2">
        <v>45668</v>
      </c>
      <c r="B63">
        <v>1</v>
      </c>
      <c r="C63" s="4">
        <v>650</v>
      </c>
      <c r="D63" s="4">
        <v>650</v>
      </c>
      <c r="E63" s="4">
        <f t="shared" si="5"/>
        <v>1300</v>
      </c>
      <c r="F63" s="4">
        <v>90</v>
      </c>
      <c r="G63" s="4">
        <f t="shared" si="6"/>
        <v>1210</v>
      </c>
      <c r="H63" s="5">
        <f t="shared" si="2"/>
        <v>6.9230769230769235E-2</v>
      </c>
    </row>
    <row r="64" spans="1:8">
      <c r="B64" s="3">
        <v>2</v>
      </c>
      <c r="C64" s="4">
        <v>700</v>
      </c>
      <c r="D64" s="4">
        <v>700</v>
      </c>
      <c r="E64" s="4">
        <f t="shared" si="5"/>
        <v>1400</v>
      </c>
      <c r="F64" s="4">
        <v>30</v>
      </c>
      <c r="G64" s="4">
        <f t="shared" si="6"/>
        <v>1370</v>
      </c>
      <c r="H64" s="5">
        <f t="shared" si="2"/>
        <v>2.1428571428571429E-2</v>
      </c>
    </row>
    <row r="65" spans="1:8">
      <c r="B65">
        <v>3</v>
      </c>
      <c r="C65" s="4">
        <v>700</v>
      </c>
      <c r="D65" s="4">
        <v>650</v>
      </c>
      <c r="E65" s="4">
        <f t="shared" si="5"/>
        <v>1350</v>
      </c>
      <c r="F65" s="4">
        <v>110</v>
      </c>
      <c r="G65" s="4">
        <f t="shared" si="6"/>
        <v>1240</v>
      </c>
      <c r="H65" s="5">
        <f t="shared" si="2"/>
        <v>8.1481481481481488E-2</v>
      </c>
    </row>
    <row r="66" spans="1:8">
      <c r="B66" s="3">
        <v>4</v>
      </c>
      <c r="C66" s="4">
        <v>700</v>
      </c>
      <c r="D66" s="4">
        <v>700</v>
      </c>
      <c r="E66" s="4">
        <f t="shared" si="5"/>
        <v>1400</v>
      </c>
      <c r="F66" s="4">
        <v>135</v>
      </c>
      <c r="G66" s="4">
        <f t="shared" si="6"/>
        <v>1265</v>
      </c>
      <c r="H66" s="5">
        <f t="shared" si="2"/>
        <v>9.6428571428571433E-2</v>
      </c>
    </row>
    <row r="67" spans="1:8">
      <c r="B67" s="3">
        <v>5</v>
      </c>
      <c r="C67" s="4">
        <v>600</v>
      </c>
      <c r="D67" s="4">
        <v>600</v>
      </c>
      <c r="E67" s="4">
        <f t="shared" si="5"/>
        <v>1200</v>
      </c>
      <c r="F67" s="4">
        <v>85</v>
      </c>
      <c r="G67" s="4">
        <f t="shared" si="6"/>
        <v>1115</v>
      </c>
      <c r="H67" s="5">
        <f t="shared" si="2"/>
        <v>7.0833333333333331E-2</v>
      </c>
    </row>
    <row r="68" spans="1:8">
      <c r="B68">
        <v>6</v>
      </c>
      <c r="C68" s="4">
        <v>900</v>
      </c>
      <c r="D68" s="4">
        <v>900</v>
      </c>
      <c r="E68" s="4">
        <f t="shared" si="5"/>
        <v>1800</v>
      </c>
      <c r="F68" s="4">
        <v>25</v>
      </c>
      <c r="G68" s="4">
        <f t="shared" si="6"/>
        <v>1775</v>
      </c>
      <c r="H68" s="5">
        <f t="shared" ref="H68:H131" si="7">$F68/E68</f>
        <v>1.3888888888888888E-2</v>
      </c>
    </row>
    <row r="69" spans="1:8">
      <c r="A69" s="2">
        <v>45669</v>
      </c>
      <c r="B69">
        <v>1</v>
      </c>
      <c r="C69" s="4">
        <v>600</v>
      </c>
      <c r="D69" s="4">
        <v>600</v>
      </c>
      <c r="E69" s="4">
        <f t="shared" si="5"/>
        <v>1200</v>
      </c>
      <c r="F69" s="4">
        <v>75</v>
      </c>
      <c r="G69" s="4">
        <f t="shared" si="6"/>
        <v>1125</v>
      </c>
      <c r="H69" s="5">
        <f t="shared" si="7"/>
        <v>6.25E-2</v>
      </c>
    </row>
    <row r="70" spans="1:8">
      <c r="B70" s="3">
        <v>2</v>
      </c>
      <c r="C70" s="4">
        <v>700</v>
      </c>
      <c r="D70" s="4">
        <v>700</v>
      </c>
      <c r="E70" s="4">
        <f t="shared" si="5"/>
        <v>1400</v>
      </c>
      <c r="F70" s="4">
        <v>90</v>
      </c>
      <c r="G70" s="4">
        <f t="shared" si="6"/>
        <v>1310</v>
      </c>
      <c r="H70" s="5">
        <f t="shared" si="7"/>
        <v>6.4285714285714279E-2</v>
      </c>
    </row>
    <row r="71" spans="1:8">
      <c r="B71">
        <v>3</v>
      </c>
      <c r="C71" s="4">
        <v>600</v>
      </c>
      <c r="D71" s="4">
        <v>6000</v>
      </c>
      <c r="E71" s="4">
        <f t="shared" si="5"/>
        <v>6600</v>
      </c>
      <c r="F71" s="4">
        <v>85</v>
      </c>
      <c r="G71" s="4">
        <f t="shared" si="6"/>
        <v>6515</v>
      </c>
      <c r="H71" s="5">
        <f t="shared" si="7"/>
        <v>1.2878787878787878E-2</v>
      </c>
    </row>
    <row r="72" spans="1:8">
      <c r="B72" s="3">
        <v>4</v>
      </c>
      <c r="C72" s="4">
        <v>600</v>
      </c>
      <c r="D72" s="4">
        <v>600</v>
      </c>
      <c r="E72" s="4">
        <f t="shared" si="5"/>
        <v>1200</v>
      </c>
      <c r="F72" s="4">
        <v>110</v>
      </c>
      <c r="G72" s="4">
        <f t="shared" si="6"/>
        <v>1090</v>
      </c>
      <c r="H72" s="5">
        <f t="shared" si="7"/>
        <v>9.166666666666666E-2</v>
      </c>
    </row>
    <row r="73" spans="1:8">
      <c r="B73" s="3">
        <v>5</v>
      </c>
      <c r="C73" s="4">
        <v>600</v>
      </c>
      <c r="D73" s="4">
        <v>600</v>
      </c>
      <c r="E73" s="4">
        <f t="shared" si="5"/>
        <v>1200</v>
      </c>
      <c r="F73" s="4">
        <v>90</v>
      </c>
      <c r="G73" s="4">
        <f t="shared" si="6"/>
        <v>1110</v>
      </c>
      <c r="H73" s="5">
        <f t="shared" si="7"/>
        <v>7.4999999999999997E-2</v>
      </c>
    </row>
    <row r="74" spans="1:8">
      <c r="B74">
        <v>6</v>
      </c>
      <c r="C74" s="4">
        <v>900</v>
      </c>
      <c r="D74" s="4">
        <v>800</v>
      </c>
      <c r="E74" s="4">
        <f t="shared" si="5"/>
        <v>1700</v>
      </c>
      <c r="F74" s="4">
        <v>35</v>
      </c>
      <c r="G74" s="4">
        <f t="shared" si="6"/>
        <v>1665</v>
      </c>
      <c r="H74" s="5">
        <f t="shared" si="7"/>
        <v>2.0588235294117647E-2</v>
      </c>
    </row>
    <row r="75" spans="1:8">
      <c r="A75" s="2">
        <v>45670</v>
      </c>
      <c r="B75">
        <v>1</v>
      </c>
      <c r="C75" s="4">
        <v>600</v>
      </c>
      <c r="D75" s="4">
        <v>600</v>
      </c>
      <c r="E75" s="4">
        <f t="shared" si="5"/>
        <v>1200</v>
      </c>
      <c r="F75" s="4">
        <v>80</v>
      </c>
      <c r="G75" s="4">
        <f t="shared" si="6"/>
        <v>1120</v>
      </c>
      <c r="H75" s="5">
        <f t="shared" si="7"/>
        <v>6.6666666666666666E-2</v>
      </c>
    </row>
    <row r="76" spans="1:8">
      <c r="B76" s="3">
        <v>2</v>
      </c>
      <c r="C76" s="4">
        <v>700</v>
      </c>
      <c r="D76" s="4">
        <v>700</v>
      </c>
      <c r="E76" s="4">
        <f t="shared" si="5"/>
        <v>1400</v>
      </c>
      <c r="F76" s="4">
        <v>50</v>
      </c>
      <c r="G76" s="4">
        <f t="shared" si="6"/>
        <v>1350</v>
      </c>
      <c r="H76" s="5">
        <f t="shared" si="7"/>
        <v>3.5714285714285712E-2</v>
      </c>
    </row>
    <row r="77" spans="1:8">
      <c r="B77">
        <v>3</v>
      </c>
      <c r="C77" s="4">
        <v>600</v>
      </c>
      <c r="D77" s="4">
        <v>600</v>
      </c>
      <c r="E77" s="4">
        <f t="shared" si="5"/>
        <v>1200</v>
      </c>
      <c r="F77" s="4">
        <v>90</v>
      </c>
      <c r="G77" s="4">
        <f t="shared" si="6"/>
        <v>1110</v>
      </c>
      <c r="H77" s="5">
        <f t="shared" si="7"/>
        <v>7.4999999999999997E-2</v>
      </c>
    </row>
    <row r="78" spans="1:8">
      <c r="B78" s="3">
        <v>4</v>
      </c>
      <c r="C78" s="4">
        <v>600</v>
      </c>
      <c r="D78" s="4">
        <v>600</v>
      </c>
      <c r="E78" s="4">
        <f t="shared" si="5"/>
        <v>1200</v>
      </c>
      <c r="F78" s="4">
        <v>100</v>
      </c>
      <c r="G78" s="4">
        <f t="shared" si="6"/>
        <v>1100</v>
      </c>
      <c r="H78" s="5">
        <f t="shared" si="7"/>
        <v>8.3333333333333329E-2</v>
      </c>
    </row>
    <row r="79" spans="1:8">
      <c r="B79" s="3">
        <v>5</v>
      </c>
      <c r="C79" s="4">
        <v>600</v>
      </c>
      <c r="D79" s="4">
        <v>600</v>
      </c>
      <c r="E79" s="4">
        <f t="shared" si="5"/>
        <v>1200</v>
      </c>
      <c r="F79" s="4">
        <v>75</v>
      </c>
      <c r="G79" s="4">
        <f t="shared" si="6"/>
        <v>1125</v>
      </c>
      <c r="H79" s="5">
        <f t="shared" si="7"/>
        <v>6.25E-2</v>
      </c>
    </row>
    <row r="80" spans="1:8">
      <c r="B80">
        <v>6</v>
      </c>
      <c r="C80" s="4">
        <v>900</v>
      </c>
      <c r="D80" s="4">
        <v>900</v>
      </c>
      <c r="E80" s="4">
        <f t="shared" si="5"/>
        <v>1800</v>
      </c>
      <c r="F80" s="4">
        <v>25</v>
      </c>
      <c r="G80" s="4">
        <f t="shared" si="6"/>
        <v>1775</v>
      </c>
      <c r="H80" s="5">
        <f t="shared" si="7"/>
        <v>1.3888888888888888E-2</v>
      </c>
    </row>
    <row r="81" spans="1:8">
      <c r="A81" s="2">
        <v>45671</v>
      </c>
      <c r="B81">
        <v>1</v>
      </c>
      <c r="C81" s="4">
        <v>600</v>
      </c>
      <c r="D81" s="4">
        <v>700</v>
      </c>
      <c r="E81" s="4">
        <f t="shared" si="5"/>
        <v>1300</v>
      </c>
      <c r="F81" s="4">
        <v>230</v>
      </c>
      <c r="G81" s="4">
        <f t="shared" si="6"/>
        <v>1070</v>
      </c>
      <c r="H81" s="5">
        <f t="shared" si="7"/>
        <v>0.17692307692307693</v>
      </c>
    </row>
    <row r="82" spans="1:8">
      <c r="B82" s="3">
        <v>2</v>
      </c>
      <c r="C82" s="4">
        <v>650</v>
      </c>
      <c r="D82" s="4">
        <v>600</v>
      </c>
      <c r="E82" s="4">
        <f t="shared" si="5"/>
        <v>1250</v>
      </c>
      <c r="F82" s="4">
        <v>60</v>
      </c>
      <c r="G82" s="4">
        <f t="shared" si="6"/>
        <v>1190</v>
      </c>
      <c r="H82" s="5">
        <f t="shared" si="7"/>
        <v>4.8000000000000001E-2</v>
      </c>
    </row>
    <row r="83" spans="1:8">
      <c r="B83">
        <v>3</v>
      </c>
      <c r="C83" s="4">
        <v>600</v>
      </c>
      <c r="D83" s="4">
        <v>650</v>
      </c>
      <c r="E83" s="4">
        <f t="shared" ref="E83:E146" si="8">$C83+D83</f>
        <v>1250</v>
      </c>
      <c r="F83" s="4">
        <v>95</v>
      </c>
      <c r="G83" s="4">
        <f t="shared" si="6"/>
        <v>1155</v>
      </c>
      <c r="H83" s="5">
        <f t="shared" si="7"/>
        <v>7.5999999999999998E-2</v>
      </c>
    </row>
    <row r="84" spans="1:8">
      <c r="B84" s="3">
        <v>4</v>
      </c>
      <c r="C84" s="4">
        <v>650</v>
      </c>
      <c r="D84" s="4">
        <v>600</v>
      </c>
      <c r="E84" s="4">
        <f t="shared" si="8"/>
        <v>1250</v>
      </c>
      <c r="F84" s="4">
        <v>60</v>
      </c>
      <c r="G84" s="4">
        <f t="shared" si="6"/>
        <v>1190</v>
      </c>
      <c r="H84" s="5">
        <f t="shared" si="7"/>
        <v>4.8000000000000001E-2</v>
      </c>
    </row>
    <row r="85" spans="1:8">
      <c r="B85" s="3">
        <v>5</v>
      </c>
      <c r="C85" s="4">
        <v>600</v>
      </c>
      <c r="D85" s="4">
        <v>500</v>
      </c>
      <c r="E85" s="4">
        <f t="shared" si="8"/>
        <v>1100</v>
      </c>
      <c r="F85" s="4">
        <v>45</v>
      </c>
      <c r="G85" s="4">
        <f t="shared" si="6"/>
        <v>1055</v>
      </c>
      <c r="H85" s="5">
        <f t="shared" si="7"/>
        <v>4.0909090909090909E-2</v>
      </c>
    </row>
    <row r="86" spans="1:8">
      <c r="B86">
        <v>6</v>
      </c>
      <c r="C86" s="4">
        <v>800</v>
      </c>
      <c r="D86" s="4">
        <v>850</v>
      </c>
      <c r="E86" s="4">
        <f t="shared" si="8"/>
        <v>1650</v>
      </c>
      <c r="F86" s="4">
        <v>70</v>
      </c>
      <c r="G86" s="4">
        <f t="shared" si="6"/>
        <v>1580</v>
      </c>
      <c r="H86" s="5">
        <f t="shared" si="7"/>
        <v>4.2424242424242427E-2</v>
      </c>
    </row>
    <row r="87" spans="1:8">
      <c r="A87" s="2">
        <v>45672</v>
      </c>
      <c r="B87">
        <v>1</v>
      </c>
      <c r="C87" s="4">
        <v>600</v>
      </c>
      <c r="D87" s="4">
        <v>600</v>
      </c>
      <c r="E87" s="4">
        <f t="shared" si="8"/>
        <v>1200</v>
      </c>
      <c r="F87" s="4">
        <v>135</v>
      </c>
      <c r="G87" s="4">
        <f t="shared" si="6"/>
        <v>1065</v>
      </c>
      <c r="H87" s="5">
        <f t="shared" si="7"/>
        <v>0.1125</v>
      </c>
    </row>
    <row r="88" spans="1:8">
      <c r="B88" s="3">
        <v>2</v>
      </c>
      <c r="C88" s="4">
        <v>650</v>
      </c>
      <c r="D88" s="4">
        <v>650</v>
      </c>
      <c r="E88" s="4">
        <f t="shared" si="8"/>
        <v>1300</v>
      </c>
      <c r="F88" s="4">
        <v>75</v>
      </c>
      <c r="G88" s="4">
        <f t="shared" si="6"/>
        <v>1225</v>
      </c>
      <c r="H88" s="5">
        <f t="shared" si="7"/>
        <v>5.7692307692307696E-2</v>
      </c>
    </row>
    <row r="89" spans="1:8">
      <c r="B89">
        <v>3</v>
      </c>
      <c r="C89" s="4">
        <v>600</v>
      </c>
      <c r="D89" s="4">
        <v>600</v>
      </c>
      <c r="E89" s="4">
        <f t="shared" si="8"/>
        <v>1200</v>
      </c>
      <c r="F89" s="4">
        <v>60</v>
      </c>
      <c r="G89" s="4">
        <f t="shared" si="6"/>
        <v>1140</v>
      </c>
      <c r="H89" s="5">
        <f t="shared" si="7"/>
        <v>0.05</v>
      </c>
    </row>
    <row r="90" spans="1:8">
      <c r="B90" s="3">
        <v>4</v>
      </c>
      <c r="C90" s="4">
        <v>650</v>
      </c>
      <c r="D90" s="4">
        <v>650</v>
      </c>
      <c r="E90" s="4">
        <f t="shared" si="8"/>
        <v>1300</v>
      </c>
      <c r="F90" s="4">
        <v>190</v>
      </c>
      <c r="G90" s="4">
        <f t="shared" si="6"/>
        <v>1110</v>
      </c>
      <c r="H90" s="5">
        <f t="shared" si="7"/>
        <v>0.14615384615384616</v>
      </c>
    </row>
    <row r="91" spans="1:8">
      <c r="B91" s="3">
        <v>5</v>
      </c>
      <c r="C91" s="4">
        <v>550</v>
      </c>
      <c r="D91" s="4">
        <v>550</v>
      </c>
      <c r="E91" s="4">
        <f t="shared" si="8"/>
        <v>1100</v>
      </c>
      <c r="F91" s="4">
        <v>130</v>
      </c>
      <c r="G91" s="4">
        <f t="shared" si="6"/>
        <v>970</v>
      </c>
      <c r="H91" s="5">
        <f t="shared" si="7"/>
        <v>0.11818181818181818</v>
      </c>
    </row>
    <row r="92" spans="1:8">
      <c r="B92">
        <v>6</v>
      </c>
      <c r="C92" s="4">
        <v>800</v>
      </c>
      <c r="D92" s="4">
        <v>800</v>
      </c>
      <c r="E92" s="4">
        <f t="shared" si="8"/>
        <v>1600</v>
      </c>
      <c r="F92" s="4">
        <v>45</v>
      </c>
      <c r="G92" s="4">
        <f t="shared" si="6"/>
        <v>1555</v>
      </c>
      <c r="H92" s="5">
        <f t="shared" si="7"/>
        <v>2.8125000000000001E-2</v>
      </c>
    </row>
    <row r="93" spans="1:8">
      <c r="A93" s="2">
        <v>45673</v>
      </c>
      <c r="B93">
        <v>1</v>
      </c>
      <c r="C93" s="4">
        <v>600</v>
      </c>
      <c r="D93" s="4">
        <v>600</v>
      </c>
      <c r="E93" s="4">
        <f t="shared" si="8"/>
        <v>1200</v>
      </c>
      <c r="F93" s="4">
        <v>75</v>
      </c>
      <c r="G93" s="4">
        <f t="shared" si="6"/>
        <v>1125</v>
      </c>
      <c r="H93" s="5">
        <f t="shared" si="7"/>
        <v>6.25E-2</v>
      </c>
    </row>
    <row r="94" spans="1:8">
      <c r="B94" s="3">
        <v>2</v>
      </c>
      <c r="C94" s="4">
        <v>650</v>
      </c>
      <c r="D94" s="4">
        <v>650</v>
      </c>
      <c r="E94" s="4">
        <f t="shared" si="8"/>
        <v>1300</v>
      </c>
      <c r="F94" s="4">
        <v>60</v>
      </c>
      <c r="G94" s="4">
        <f t="shared" si="6"/>
        <v>1240</v>
      </c>
      <c r="H94" s="5">
        <f t="shared" si="7"/>
        <v>4.6153846153846156E-2</v>
      </c>
    </row>
    <row r="95" spans="1:8">
      <c r="B95">
        <v>3</v>
      </c>
      <c r="C95" s="4">
        <v>600</v>
      </c>
      <c r="D95" s="4">
        <v>600</v>
      </c>
      <c r="E95" s="4">
        <f t="shared" si="8"/>
        <v>1200</v>
      </c>
      <c r="F95" s="4">
        <v>120</v>
      </c>
      <c r="G95" s="4">
        <f t="shared" si="6"/>
        <v>1080</v>
      </c>
      <c r="H95" s="5">
        <f t="shared" si="7"/>
        <v>0.1</v>
      </c>
    </row>
    <row r="96" spans="1:8">
      <c r="B96" s="3">
        <v>4</v>
      </c>
      <c r="C96" s="4">
        <v>650</v>
      </c>
      <c r="D96" s="4">
        <v>650</v>
      </c>
      <c r="E96" s="4">
        <f t="shared" si="8"/>
        <v>1300</v>
      </c>
      <c r="F96" s="4">
        <v>110</v>
      </c>
      <c r="G96" s="4">
        <f t="shared" si="6"/>
        <v>1190</v>
      </c>
      <c r="H96" s="5">
        <f t="shared" si="7"/>
        <v>8.461538461538462E-2</v>
      </c>
    </row>
    <row r="97" spans="1:8">
      <c r="B97" s="3">
        <v>5</v>
      </c>
      <c r="C97" s="4">
        <v>550</v>
      </c>
      <c r="D97" s="4">
        <v>550</v>
      </c>
      <c r="E97" s="4">
        <f t="shared" si="8"/>
        <v>1100</v>
      </c>
      <c r="F97" s="4">
        <v>95</v>
      </c>
      <c r="G97" s="4">
        <f t="shared" si="6"/>
        <v>1005</v>
      </c>
      <c r="H97" s="5">
        <f t="shared" si="7"/>
        <v>8.6363636363636365E-2</v>
      </c>
    </row>
    <row r="98" spans="1:8">
      <c r="B98">
        <v>6</v>
      </c>
      <c r="C98" s="4">
        <v>800</v>
      </c>
      <c r="D98" s="4">
        <v>800</v>
      </c>
      <c r="E98" s="4">
        <f t="shared" si="8"/>
        <v>1600</v>
      </c>
      <c r="F98" s="4">
        <v>40</v>
      </c>
      <c r="G98" s="4">
        <f t="shared" si="6"/>
        <v>1560</v>
      </c>
      <c r="H98" s="5">
        <f t="shared" si="7"/>
        <v>2.5000000000000001E-2</v>
      </c>
    </row>
    <row r="99" spans="1:8">
      <c r="A99" s="2">
        <v>45674</v>
      </c>
      <c r="B99">
        <v>1</v>
      </c>
      <c r="C99" s="4">
        <v>600</v>
      </c>
      <c r="D99" s="4">
        <v>600</v>
      </c>
      <c r="E99" s="4">
        <f t="shared" si="8"/>
        <v>1200</v>
      </c>
      <c r="F99" s="4">
        <v>50</v>
      </c>
      <c r="G99" s="4">
        <f t="shared" si="6"/>
        <v>1150</v>
      </c>
      <c r="H99" s="5">
        <f t="shared" si="7"/>
        <v>4.1666666666666664E-2</v>
      </c>
    </row>
    <row r="100" spans="1:8">
      <c r="B100" s="3">
        <v>2</v>
      </c>
      <c r="C100" s="4">
        <v>650</v>
      </c>
      <c r="D100" s="4">
        <v>650</v>
      </c>
      <c r="E100" s="4">
        <f t="shared" si="8"/>
        <v>1300</v>
      </c>
      <c r="F100" s="4">
        <v>65</v>
      </c>
      <c r="G100" s="4">
        <f t="shared" si="6"/>
        <v>1235</v>
      </c>
      <c r="H100" s="5">
        <f t="shared" si="7"/>
        <v>0.05</v>
      </c>
    </row>
    <row r="101" spans="1:8">
      <c r="B101">
        <v>3</v>
      </c>
      <c r="C101" s="4">
        <v>600</v>
      </c>
      <c r="D101" s="4">
        <v>600</v>
      </c>
      <c r="E101" s="4">
        <f t="shared" si="8"/>
        <v>1200</v>
      </c>
      <c r="F101" s="4">
        <v>185</v>
      </c>
      <c r="G101" s="4">
        <f t="shared" si="6"/>
        <v>1015</v>
      </c>
      <c r="H101" s="5">
        <f t="shared" si="7"/>
        <v>0.15416666666666667</v>
      </c>
    </row>
    <row r="102" spans="1:8">
      <c r="B102" s="3">
        <v>4</v>
      </c>
      <c r="C102" s="4">
        <v>650</v>
      </c>
      <c r="D102" s="4">
        <v>650</v>
      </c>
      <c r="E102" s="4">
        <f t="shared" si="8"/>
        <v>1300</v>
      </c>
      <c r="F102" s="4">
        <v>50</v>
      </c>
      <c r="G102" s="4">
        <f t="shared" ref="G102:G103" si="9">$E102-F102</f>
        <v>1250</v>
      </c>
      <c r="H102" s="5">
        <f t="shared" si="7"/>
        <v>3.8461538461538464E-2</v>
      </c>
    </row>
    <row r="103" spans="1:8">
      <c r="B103" s="3">
        <v>5</v>
      </c>
      <c r="C103" s="4">
        <v>550</v>
      </c>
      <c r="D103" s="4">
        <v>550</v>
      </c>
      <c r="E103" s="4">
        <f t="shared" si="8"/>
        <v>1100</v>
      </c>
      <c r="F103" s="4">
        <v>115</v>
      </c>
      <c r="G103" s="4">
        <f t="shared" si="9"/>
        <v>985</v>
      </c>
      <c r="H103" s="5">
        <f t="shared" si="7"/>
        <v>0.10454545454545454</v>
      </c>
    </row>
    <row r="104" spans="1:8">
      <c r="B104">
        <v>6</v>
      </c>
      <c r="C104" s="4">
        <v>800</v>
      </c>
      <c r="D104" s="4">
        <v>800</v>
      </c>
      <c r="E104" s="4">
        <f t="shared" si="8"/>
        <v>1600</v>
      </c>
      <c r="F104" s="4">
        <v>35</v>
      </c>
      <c r="G104" s="4">
        <f t="shared" ref="G104:G135" si="10">$E104-F104</f>
        <v>1565</v>
      </c>
      <c r="H104" s="5">
        <f t="shared" si="7"/>
        <v>2.1874999999999999E-2</v>
      </c>
    </row>
    <row r="105" spans="1:8">
      <c r="A105" s="2">
        <v>45675</v>
      </c>
      <c r="B105">
        <v>1</v>
      </c>
      <c r="C105" s="4">
        <v>600</v>
      </c>
      <c r="D105" s="4">
        <v>600</v>
      </c>
      <c r="E105" s="4">
        <f t="shared" si="8"/>
        <v>1200</v>
      </c>
      <c r="F105" s="4">
        <v>35</v>
      </c>
      <c r="G105" s="4">
        <f t="shared" si="10"/>
        <v>1165</v>
      </c>
      <c r="H105" s="5">
        <f t="shared" si="7"/>
        <v>2.9166666666666667E-2</v>
      </c>
    </row>
    <row r="106" spans="1:8">
      <c r="B106" s="3">
        <v>2</v>
      </c>
      <c r="C106" s="4">
        <v>650</v>
      </c>
      <c r="D106" s="4">
        <v>650</v>
      </c>
      <c r="E106" s="4">
        <f t="shared" si="8"/>
        <v>1300</v>
      </c>
      <c r="F106" s="4">
        <v>50</v>
      </c>
      <c r="G106" s="4">
        <f t="shared" si="10"/>
        <v>1250</v>
      </c>
      <c r="H106" s="5">
        <f t="shared" si="7"/>
        <v>3.8461538461538464E-2</v>
      </c>
    </row>
    <row r="107" spans="1:8">
      <c r="B107">
        <v>3</v>
      </c>
      <c r="C107" s="4">
        <v>600</v>
      </c>
      <c r="D107" s="4">
        <v>600</v>
      </c>
      <c r="E107" s="4">
        <f t="shared" si="8"/>
        <v>1200</v>
      </c>
      <c r="F107" s="4">
        <v>40</v>
      </c>
      <c r="G107" s="4">
        <f t="shared" si="10"/>
        <v>1160</v>
      </c>
      <c r="H107" s="5">
        <f t="shared" si="7"/>
        <v>3.3333333333333333E-2</v>
      </c>
    </row>
    <row r="108" spans="1:8">
      <c r="B108" s="3">
        <v>4</v>
      </c>
      <c r="C108" s="4">
        <v>650</v>
      </c>
      <c r="D108" s="4">
        <v>650</v>
      </c>
      <c r="E108" s="4">
        <f t="shared" si="8"/>
        <v>1300</v>
      </c>
      <c r="F108" s="4">
        <v>35</v>
      </c>
      <c r="G108" s="4">
        <f t="shared" si="10"/>
        <v>1265</v>
      </c>
      <c r="H108" s="5">
        <f t="shared" si="7"/>
        <v>2.6923076923076925E-2</v>
      </c>
    </row>
    <row r="109" spans="1:8">
      <c r="B109" s="3">
        <v>5</v>
      </c>
      <c r="C109" s="4">
        <v>500</v>
      </c>
      <c r="D109" s="4">
        <v>500</v>
      </c>
      <c r="E109" s="4">
        <f t="shared" si="8"/>
        <v>1000</v>
      </c>
      <c r="F109" s="4">
        <v>130</v>
      </c>
      <c r="G109" s="4">
        <f t="shared" si="10"/>
        <v>870</v>
      </c>
      <c r="H109" s="5">
        <f t="shared" si="7"/>
        <v>0.13</v>
      </c>
    </row>
    <row r="110" spans="1:8">
      <c r="B110">
        <v>6</v>
      </c>
      <c r="C110" s="4">
        <v>800</v>
      </c>
      <c r="D110" s="4">
        <v>800</v>
      </c>
      <c r="E110" s="4">
        <f t="shared" si="8"/>
        <v>1600</v>
      </c>
      <c r="F110" s="4">
        <v>90</v>
      </c>
      <c r="G110" s="4">
        <f t="shared" si="10"/>
        <v>1510</v>
      </c>
      <c r="H110" s="5">
        <f t="shared" si="7"/>
        <v>5.6250000000000001E-2</v>
      </c>
    </row>
    <row r="111" spans="1:8">
      <c r="A111" s="2">
        <v>45676</v>
      </c>
      <c r="B111">
        <v>1</v>
      </c>
      <c r="C111" s="4">
        <v>600</v>
      </c>
      <c r="D111" s="4">
        <v>600</v>
      </c>
      <c r="E111" s="4">
        <f t="shared" si="8"/>
        <v>1200</v>
      </c>
      <c r="F111" s="4">
        <v>20</v>
      </c>
      <c r="G111" s="4">
        <f t="shared" si="10"/>
        <v>1180</v>
      </c>
      <c r="H111" s="5">
        <f t="shared" si="7"/>
        <v>1.6666666666666666E-2</v>
      </c>
    </row>
    <row r="112" spans="1:8">
      <c r="B112" s="3">
        <v>2</v>
      </c>
      <c r="C112" s="4">
        <v>650</v>
      </c>
      <c r="D112" s="4">
        <v>650</v>
      </c>
      <c r="E112" s="4">
        <f t="shared" si="8"/>
        <v>1300</v>
      </c>
      <c r="F112" s="4">
        <v>30</v>
      </c>
      <c r="G112" s="4">
        <f t="shared" si="10"/>
        <v>1270</v>
      </c>
      <c r="H112" s="5">
        <f t="shared" si="7"/>
        <v>2.3076923076923078E-2</v>
      </c>
    </row>
    <row r="113" spans="1:8">
      <c r="B113">
        <v>3</v>
      </c>
      <c r="C113" s="4">
        <v>600</v>
      </c>
      <c r="D113" s="4">
        <v>600</v>
      </c>
      <c r="E113" s="4">
        <f t="shared" si="8"/>
        <v>1200</v>
      </c>
      <c r="F113" s="4">
        <v>55</v>
      </c>
      <c r="G113" s="4">
        <f t="shared" si="10"/>
        <v>1145</v>
      </c>
      <c r="H113" s="5">
        <f t="shared" si="7"/>
        <v>4.583333333333333E-2</v>
      </c>
    </row>
    <row r="114" spans="1:8">
      <c r="B114" s="3">
        <v>4</v>
      </c>
      <c r="C114" s="4">
        <v>650</v>
      </c>
      <c r="D114" s="4">
        <v>650</v>
      </c>
      <c r="E114" s="4">
        <f t="shared" si="8"/>
        <v>1300</v>
      </c>
      <c r="F114" s="4">
        <v>35</v>
      </c>
      <c r="G114" s="4">
        <f t="shared" si="10"/>
        <v>1265</v>
      </c>
      <c r="H114" s="5">
        <f t="shared" si="7"/>
        <v>2.6923076923076925E-2</v>
      </c>
    </row>
    <row r="115" spans="1:8">
      <c r="B115" s="3">
        <v>5</v>
      </c>
      <c r="C115" s="4">
        <v>500</v>
      </c>
      <c r="D115" s="4">
        <v>500</v>
      </c>
      <c r="E115" s="4">
        <f t="shared" si="8"/>
        <v>1000</v>
      </c>
      <c r="F115" s="4">
        <v>60</v>
      </c>
      <c r="G115" s="4">
        <f t="shared" si="10"/>
        <v>940</v>
      </c>
      <c r="H115" s="5">
        <f t="shared" si="7"/>
        <v>0.06</v>
      </c>
    </row>
    <row r="116" spans="1:8">
      <c r="B116">
        <v>6</v>
      </c>
      <c r="C116" s="4">
        <v>800</v>
      </c>
      <c r="D116" s="4">
        <v>800</v>
      </c>
      <c r="E116" s="4">
        <f t="shared" si="8"/>
        <v>1600</v>
      </c>
      <c r="F116" s="4">
        <v>85</v>
      </c>
      <c r="G116" s="4">
        <f t="shared" si="10"/>
        <v>1515</v>
      </c>
      <c r="H116" s="5">
        <f t="shared" si="7"/>
        <v>5.3124999999999999E-2</v>
      </c>
    </row>
    <row r="117" spans="1:8">
      <c r="A117" s="2">
        <v>45677</v>
      </c>
      <c r="B117">
        <v>1</v>
      </c>
      <c r="C117" s="4">
        <v>600</v>
      </c>
      <c r="D117" s="4">
        <v>600</v>
      </c>
      <c r="E117" s="4">
        <f t="shared" si="8"/>
        <v>1200</v>
      </c>
      <c r="F117" s="4">
        <v>10</v>
      </c>
      <c r="G117" s="4">
        <f t="shared" si="10"/>
        <v>1190</v>
      </c>
      <c r="H117" s="5">
        <f t="shared" si="7"/>
        <v>8.3333333333333332E-3</v>
      </c>
    </row>
    <row r="118" spans="1:8">
      <c r="B118" s="3">
        <v>2</v>
      </c>
      <c r="C118" s="4">
        <v>650</v>
      </c>
      <c r="D118" s="4">
        <v>650</v>
      </c>
      <c r="E118" s="4">
        <f t="shared" si="8"/>
        <v>1300</v>
      </c>
      <c r="F118" s="4">
        <v>0</v>
      </c>
      <c r="G118" s="4">
        <f t="shared" si="10"/>
        <v>1300</v>
      </c>
      <c r="H118" s="5">
        <f t="shared" si="7"/>
        <v>0</v>
      </c>
    </row>
    <row r="119" spans="1:8">
      <c r="B119">
        <v>3</v>
      </c>
      <c r="C119" s="4">
        <v>600</v>
      </c>
      <c r="D119" s="4">
        <v>600</v>
      </c>
      <c r="E119" s="4">
        <f t="shared" si="8"/>
        <v>1200</v>
      </c>
      <c r="F119" s="4">
        <v>100</v>
      </c>
      <c r="G119" s="4">
        <f t="shared" si="10"/>
        <v>1100</v>
      </c>
      <c r="H119" s="5">
        <f t="shared" si="7"/>
        <v>8.3333333333333329E-2</v>
      </c>
    </row>
    <row r="120" spans="1:8">
      <c r="B120" s="3">
        <v>4</v>
      </c>
      <c r="C120" s="4">
        <v>650</v>
      </c>
      <c r="D120" s="4">
        <v>650</v>
      </c>
      <c r="E120" s="4">
        <f t="shared" si="8"/>
        <v>1300</v>
      </c>
      <c r="F120" s="4">
        <v>250</v>
      </c>
      <c r="G120" s="4">
        <f t="shared" si="10"/>
        <v>1050</v>
      </c>
      <c r="H120" s="5">
        <f t="shared" si="7"/>
        <v>0.19230769230769232</v>
      </c>
    </row>
    <row r="121" spans="1:8">
      <c r="B121" s="3">
        <v>5</v>
      </c>
      <c r="C121" s="4">
        <v>400</v>
      </c>
      <c r="D121" s="4">
        <v>400</v>
      </c>
      <c r="E121" s="4">
        <f t="shared" si="8"/>
        <v>800</v>
      </c>
      <c r="F121" s="4">
        <v>180</v>
      </c>
      <c r="G121" s="4">
        <f t="shared" si="10"/>
        <v>620</v>
      </c>
      <c r="H121" s="5">
        <f t="shared" si="7"/>
        <v>0.22500000000000001</v>
      </c>
    </row>
    <row r="122" spans="1:8">
      <c r="B122">
        <v>6</v>
      </c>
      <c r="C122" s="4">
        <v>800</v>
      </c>
      <c r="D122" s="4">
        <v>800</v>
      </c>
      <c r="E122" s="4">
        <f t="shared" si="8"/>
        <v>1600</v>
      </c>
      <c r="F122" s="4">
        <v>0</v>
      </c>
      <c r="G122" s="4">
        <f t="shared" si="10"/>
        <v>1600</v>
      </c>
      <c r="H122" s="5">
        <f t="shared" si="7"/>
        <v>0</v>
      </c>
    </row>
    <row r="123" spans="1:8">
      <c r="A123" s="2">
        <v>45678</v>
      </c>
      <c r="B123">
        <v>1</v>
      </c>
      <c r="C123" s="4">
        <v>600</v>
      </c>
      <c r="D123" s="4">
        <v>600</v>
      </c>
      <c r="E123" s="4">
        <f t="shared" si="8"/>
        <v>1200</v>
      </c>
      <c r="F123" s="4">
        <v>35</v>
      </c>
      <c r="G123" s="4">
        <f t="shared" si="10"/>
        <v>1165</v>
      </c>
      <c r="H123" s="5">
        <f t="shared" si="7"/>
        <v>2.9166666666666667E-2</v>
      </c>
    </row>
    <row r="124" spans="1:8">
      <c r="B124" s="3">
        <v>2</v>
      </c>
      <c r="C124" s="4">
        <v>650</v>
      </c>
      <c r="D124" s="4">
        <v>650</v>
      </c>
      <c r="E124" s="4">
        <f t="shared" si="8"/>
        <v>1300</v>
      </c>
      <c r="F124" s="4">
        <v>40</v>
      </c>
      <c r="G124" s="4">
        <f t="shared" si="10"/>
        <v>1260</v>
      </c>
      <c r="H124" s="5">
        <f t="shared" si="7"/>
        <v>3.0769230769230771E-2</v>
      </c>
    </row>
    <row r="125" spans="1:8">
      <c r="B125">
        <v>3</v>
      </c>
      <c r="C125" s="4">
        <v>600</v>
      </c>
      <c r="D125" s="4">
        <v>600</v>
      </c>
      <c r="E125" s="4">
        <f t="shared" si="8"/>
        <v>1200</v>
      </c>
      <c r="F125" s="4">
        <v>0</v>
      </c>
      <c r="G125" s="4">
        <f t="shared" si="10"/>
        <v>1200</v>
      </c>
      <c r="H125" s="5">
        <f t="shared" si="7"/>
        <v>0</v>
      </c>
    </row>
    <row r="126" spans="1:8">
      <c r="B126" s="3">
        <v>4</v>
      </c>
      <c r="C126" s="4">
        <v>600</v>
      </c>
      <c r="D126" s="4">
        <v>600</v>
      </c>
      <c r="E126" s="4">
        <f t="shared" si="8"/>
        <v>1200</v>
      </c>
      <c r="F126" s="4">
        <v>100</v>
      </c>
      <c r="G126" s="4">
        <f t="shared" si="10"/>
        <v>1100</v>
      </c>
      <c r="H126" s="5">
        <f t="shared" si="7"/>
        <v>8.3333333333333329E-2</v>
      </c>
    </row>
    <row r="127" spans="1:8">
      <c r="B127" s="3">
        <v>5</v>
      </c>
      <c r="C127" s="4">
        <v>500</v>
      </c>
      <c r="D127" s="4">
        <v>400</v>
      </c>
      <c r="E127" s="4">
        <f t="shared" si="8"/>
        <v>900</v>
      </c>
      <c r="F127" s="4">
        <v>0</v>
      </c>
      <c r="G127" s="4">
        <f t="shared" si="10"/>
        <v>900</v>
      </c>
      <c r="H127" s="5">
        <f t="shared" si="7"/>
        <v>0</v>
      </c>
    </row>
    <row r="128" spans="1:8">
      <c r="B128">
        <v>6</v>
      </c>
      <c r="C128" s="4">
        <v>900</v>
      </c>
      <c r="D128" s="4">
        <v>900</v>
      </c>
      <c r="E128" s="4">
        <f t="shared" si="8"/>
        <v>1800</v>
      </c>
      <c r="F128" s="4">
        <v>0</v>
      </c>
      <c r="G128" s="4">
        <f t="shared" si="10"/>
        <v>1800</v>
      </c>
      <c r="H128" s="5">
        <f t="shared" si="7"/>
        <v>0</v>
      </c>
    </row>
    <row r="129" spans="1:8">
      <c r="A129" s="2">
        <v>45679</v>
      </c>
      <c r="B129">
        <v>1</v>
      </c>
      <c r="C129" s="4">
        <v>600</v>
      </c>
      <c r="D129" s="4">
        <v>600</v>
      </c>
      <c r="E129" s="4">
        <f t="shared" si="8"/>
        <v>1200</v>
      </c>
      <c r="F129" s="4">
        <v>25</v>
      </c>
      <c r="G129" s="4">
        <f t="shared" si="10"/>
        <v>1175</v>
      </c>
      <c r="H129" s="5">
        <f t="shared" si="7"/>
        <v>2.0833333333333332E-2</v>
      </c>
    </row>
    <row r="130" spans="1:8">
      <c r="B130" s="3">
        <v>2</v>
      </c>
      <c r="C130" s="4">
        <v>650</v>
      </c>
      <c r="D130" s="4">
        <v>650</v>
      </c>
      <c r="E130" s="4">
        <f t="shared" si="8"/>
        <v>1300</v>
      </c>
      <c r="F130" s="4">
        <v>90</v>
      </c>
      <c r="G130" s="4">
        <f t="shared" si="10"/>
        <v>1210</v>
      </c>
      <c r="H130" s="5">
        <f t="shared" si="7"/>
        <v>6.9230769230769235E-2</v>
      </c>
    </row>
    <row r="131" spans="1:8">
      <c r="B131">
        <v>3</v>
      </c>
      <c r="C131" s="4">
        <v>600</v>
      </c>
      <c r="D131" s="4">
        <v>600</v>
      </c>
      <c r="E131" s="4">
        <f t="shared" si="8"/>
        <v>1200</v>
      </c>
      <c r="F131" s="4">
        <v>45</v>
      </c>
      <c r="G131" s="4">
        <f t="shared" si="10"/>
        <v>1155</v>
      </c>
      <c r="H131" s="5">
        <f t="shared" si="7"/>
        <v>3.7499999999999999E-2</v>
      </c>
    </row>
    <row r="132" spans="1:8">
      <c r="B132" s="3">
        <v>4</v>
      </c>
      <c r="C132" s="4">
        <v>600</v>
      </c>
      <c r="D132" s="4">
        <v>600</v>
      </c>
      <c r="E132" s="4">
        <f t="shared" si="8"/>
        <v>1200</v>
      </c>
      <c r="F132" s="4">
        <v>120</v>
      </c>
      <c r="G132" s="4">
        <f t="shared" si="10"/>
        <v>1080</v>
      </c>
      <c r="H132" s="5">
        <f t="shared" ref="H132:H188" si="11">$F132/E132</f>
        <v>0.1</v>
      </c>
    </row>
    <row r="133" spans="1:8">
      <c r="B133" s="3">
        <v>5</v>
      </c>
      <c r="C133" s="4">
        <v>400</v>
      </c>
      <c r="D133" s="4">
        <v>400</v>
      </c>
      <c r="E133" s="4">
        <f t="shared" si="8"/>
        <v>800</v>
      </c>
      <c r="F133" s="4">
        <v>35</v>
      </c>
      <c r="G133" s="4">
        <f t="shared" si="10"/>
        <v>765</v>
      </c>
      <c r="H133" s="5">
        <f t="shared" si="11"/>
        <v>4.3749999999999997E-2</v>
      </c>
    </row>
    <row r="134" spans="1:8">
      <c r="B134">
        <v>6</v>
      </c>
      <c r="C134" s="4">
        <v>800</v>
      </c>
      <c r="D134" s="4">
        <v>800</v>
      </c>
      <c r="E134" s="4">
        <f t="shared" si="8"/>
        <v>1600</v>
      </c>
      <c r="F134" s="4">
        <v>0</v>
      </c>
      <c r="G134" s="4">
        <f t="shared" si="10"/>
        <v>1600</v>
      </c>
      <c r="H134" s="5">
        <f t="shared" si="11"/>
        <v>0</v>
      </c>
    </row>
    <row r="135" spans="1:8">
      <c r="A135" s="2">
        <v>45680</v>
      </c>
      <c r="B135">
        <v>1</v>
      </c>
      <c r="C135" s="4">
        <v>600</v>
      </c>
      <c r="D135" s="4">
        <v>650</v>
      </c>
      <c r="E135" s="4">
        <f t="shared" si="8"/>
        <v>1250</v>
      </c>
      <c r="F135" s="4">
        <v>115</v>
      </c>
      <c r="G135" s="4">
        <f t="shared" si="10"/>
        <v>1135</v>
      </c>
      <c r="H135" s="5">
        <f t="shared" si="11"/>
        <v>9.1999999999999998E-2</v>
      </c>
    </row>
    <row r="136" spans="1:8">
      <c r="B136" s="3">
        <v>2</v>
      </c>
      <c r="C136" s="4">
        <v>650</v>
      </c>
      <c r="D136" s="4">
        <v>700</v>
      </c>
      <c r="E136" s="4">
        <f t="shared" si="8"/>
        <v>1350</v>
      </c>
      <c r="F136" s="4">
        <v>90</v>
      </c>
      <c r="G136" s="4">
        <f t="shared" ref="G136:G167" si="12">$E136-F136</f>
        <v>1260</v>
      </c>
      <c r="H136" s="5">
        <f t="shared" si="11"/>
        <v>6.6666666666666666E-2</v>
      </c>
    </row>
    <row r="137" spans="1:8">
      <c r="B137">
        <v>3</v>
      </c>
      <c r="C137" s="4">
        <v>600</v>
      </c>
      <c r="D137" s="4">
        <v>480</v>
      </c>
      <c r="E137" s="4">
        <f t="shared" si="8"/>
        <v>1080</v>
      </c>
      <c r="F137" s="4">
        <v>105</v>
      </c>
      <c r="G137" s="4">
        <f t="shared" si="12"/>
        <v>975</v>
      </c>
      <c r="H137" s="5">
        <f t="shared" si="11"/>
        <v>9.7222222222222224E-2</v>
      </c>
    </row>
    <row r="138" spans="1:8">
      <c r="B138" s="3">
        <v>4</v>
      </c>
      <c r="C138" s="4">
        <v>600</v>
      </c>
      <c r="D138" s="4">
        <v>700</v>
      </c>
      <c r="E138" s="4">
        <f t="shared" si="8"/>
        <v>1300</v>
      </c>
      <c r="F138" s="4">
        <v>130</v>
      </c>
      <c r="G138" s="4">
        <f t="shared" si="12"/>
        <v>1170</v>
      </c>
      <c r="H138" s="5">
        <f t="shared" si="11"/>
        <v>0.1</v>
      </c>
    </row>
    <row r="139" spans="1:8">
      <c r="B139" s="3">
        <v>5</v>
      </c>
      <c r="C139" s="4">
        <v>400</v>
      </c>
      <c r="D139" s="4">
        <v>510</v>
      </c>
      <c r="E139" s="4">
        <f t="shared" si="8"/>
        <v>910</v>
      </c>
      <c r="F139" s="4">
        <v>80</v>
      </c>
      <c r="G139" s="4">
        <f t="shared" si="12"/>
        <v>830</v>
      </c>
      <c r="H139" s="5">
        <f t="shared" si="11"/>
        <v>8.7912087912087919E-2</v>
      </c>
    </row>
    <row r="140" spans="1:8">
      <c r="B140">
        <v>6</v>
      </c>
      <c r="C140" s="4">
        <v>800</v>
      </c>
      <c r="D140" s="4">
        <v>1000</v>
      </c>
      <c r="E140" s="4">
        <f t="shared" si="8"/>
        <v>1800</v>
      </c>
      <c r="F140" s="4">
        <v>25</v>
      </c>
      <c r="G140" s="4">
        <f t="shared" si="12"/>
        <v>1775</v>
      </c>
      <c r="H140" s="5">
        <f t="shared" si="11"/>
        <v>1.3888888888888888E-2</v>
      </c>
    </row>
    <row r="141" spans="1:8">
      <c r="A141" s="2">
        <v>45681</v>
      </c>
      <c r="B141">
        <v>1</v>
      </c>
      <c r="C141" s="4">
        <v>650</v>
      </c>
      <c r="D141" s="4">
        <v>650</v>
      </c>
      <c r="E141" s="4">
        <f t="shared" si="8"/>
        <v>1300</v>
      </c>
      <c r="F141" s="4">
        <v>125</v>
      </c>
      <c r="G141" s="4">
        <f t="shared" si="12"/>
        <v>1175</v>
      </c>
      <c r="H141" s="5">
        <f t="shared" si="11"/>
        <v>9.6153846153846159E-2</v>
      </c>
    </row>
    <row r="142" spans="1:8">
      <c r="B142" s="3">
        <v>2</v>
      </c>
      <c r="C142" s="4">
        <v>750</v>
      </c>
      <c r="D142" s="4">
        <v>700</v>
      </c>
      <c r="E142" s="4">
        <f t="shared" si="8"/>
        <v>1450</v>
      </c>
      <c r="F142" s="4">
        <v>130</v>
      </c>
      <c r="G142" s="4">
        <f t="shared" si="12"/>
        <v>1320</v>
      </c>
      <c r="H142" s="5">
        <f t="shared" si="11"/>
        <v>8.9655172413793102E-2</v>
      </c>
    </row>
    <row r="143" spans="1:8">
      <c r="B143">
        <v>3</v>
      </c>
      <c r="C143" s="4">
        <v>500</v>
      </c>
      <c r="D143" s="4">
        <v>500</v>
      </c>
      <c r="E143" s="4">
        <f t="shared" si="8"/>
        <v>1000</v>
      </c>
      <c r="F143" s="4">
        <v>135</v>
      </c>
      <c r="G143" s="4">
        <f t="shared" si="12"/>
        <v>865</v>
      </c>
      <c r="H143" s="5">
        <f t="shared" si="11"/>
        <v>0.13500000000000001</v>
      </c>
    </row>
    <row r="144" spans="1:8">
      <c r="B144" s="3">
        <v>4</v>
      </c>
      <c r="C144" s="4">
        <v>700</v>
      </c>
      <c r="D144" s="4">
        <v>700</v>
      </c>
      <c r="E144" s="4">
        <f t="shared" si="8"/>
        <v>1400</v>
      </c>
      <c r="F144" s="4">
        <v>140</v>
      </c>
      <c r="G144" s="4">
        <f t="shared" si="12"/>
        <v>1260</v>
      </c>
      <c r="H144" s="5">
        <f t="shared" si="11"/>
        <v>0.1</v>
      </c>
    </row>
    <row r="145" spans="1:8">
      <c r="B145" s="3">
        <v>5</v>
      </c>
      <c r="C145" s="4">
        <v>510</v>
      </c>
      <c r="D145" s="4">
        <v>510</v>
      </c>
      <c r="E145" s="4">
        <f t="shared" si="8"/>
        <v>1020</v>
      </c>
      <c r="F145" s="4">
        <v>185</v>
      </c>
      <c r="G145" s="4">
        <f t="shared" si="12"/>
        <v>835</v>
      </c>
      <c r="H145" s="5">
        <f t="shared" si="11"/>
        <v>0.18137254901960784</v>
      </c>
    </row>
    <row r="146" spans="1:8">
      <c r="B146">
        <v>6</v>
      </c>
      <c r="C146" s="4">
        <v>1000</v>
      </c>
      <c r="D146" s="4">
        <v>1000</v>
      </c>
      <c r="E146" s="4">
        <f t="shared" si="8"/>
        <v>2000</v>
      </c>
      <c r="F146" s="4">
        <v>0</v>
      </c>
      <c r="G146" s="4">
        <f t="shared" si="12"/>
        <v>2000</v>
      </c>
      <c r="H146" s="5">
        <f t="shared" si="11"/>
        <v>0</v>
      </c>
    </row>
    <row r="147" spans="1:8">
      <c r="A147" s="2">
        <v>45682</v>
      </c>
      <c r="B147">
        <v>1</v>
      </c>
      <c r="C147" s="4">
        <v>550</v>
      </c>
      <c r="D147" s="4">
        <v>550</v>
      </c>
      <c r="E147" s="4">
        <f t="shared" ref="E147:E188" si="13">$C147+D147</f>
        <v>1100</v>
      </c>
      <c r="F147" s="4">
        <v>75</v>
      </c>
      <c r="G147" s="4">
        <f t="shared" si="12"/>
        <v>1025</v>
      </c>
      <c r="H147" s="5">
        <f t="shared" si="11"/>
        <v>6.8181818181818177E-2</v>
      </c>
    </row>
    <row r="148" spans="1:8">
      <c r="B148" s="3">
        <v>2</v>
      </c>
      <c r="C148" s="4">
        <v>600</v>
      </c>
      <c r="D148" s="4">
        <v>600</v>
      </c>
      <c r="E148" s="4">
        <f t="shared" si="13"/>
        <v>1200</v>
      </c>
      <c r="F148" s="4">
        <v>40</v>
      </c>
      <c r="G148" s="4">
        <f t="shared" si="12"/>
        <v>1160</v>
      </c>
      <c r="H148" s="5">
        <f t="shared" si="11"/>
        <v>3.3333333333333333E-2</v>
      </c>
    </row>
    <row r="149" spans="1:8">
      <c r="B149">
        <v>3</v>
      </c>
      <c r="C149" s="4">
        <v>550</v>
      </c>
      <c r="D149" s="4">
        <v>550</v>
      </c>
      <c r="E149" s="4">
        <f t="shared" si="13"/>
        <v>1100</v>
      </c>
      <c r="F149" s="4">
        <v>45</v>
      </c>
      <c r="G149" s="4">
        <f t="shared" si="12"/>
        <v>1055</v>
      </c>
      <c r="H149" s="5">
        <f t="shared" si="11"/>
        <v>4.0909090909090909E-2</v>
      </c>
    </row>
    <row r="150" spans="1:8">
      <c r="B150" s="3">
        <v>4</v>
      </c>
      <c r="C150" s="4">
        <v>600</v>
      </c>
      <c r="D150" s="4">
        <v>600</v>
      </c>
      <c r="E150" s="4">
        <f t="shared" si="13"/>
        <v>1200</v>
      </c>
      <c r="F150" s="4">
        <v>65</v>
      </c>
      <c r="G150" s="4">
        <f t="shared" si="12"/>
        <v>1135</v>
      </c>
      <c r="H150" s="5">
        <f t="shared" si="11"/>
        <v>5.4166666666666669E-2</v>
      </c>
    </row>
    <row r="151" spans="1:8">
      <c r="B151" s="3">
        <v>5</v>
      </c>
      <c r="C151" s="4">
        <v>450</v>
      </c>
      <c r="D151" s="4">
        <v>450</v>
      </c>
      <c r="E151" s="4">
        <f t="shared" si="13"/>
        <v>900</v>
      </c>
      <c r="F151" s="4">
        <v>80</v>
      </c>
      <c r="G151" s="4">
        <f t="shared" si="12"/>
        <v>820</v>
      </c>
      <c r="H151" s="5">
        <f t="shared" si="11"/>
        <v>8.8888888888888892E-2</v>
      </c>
    </row>
    <row r="152" spans="1:8">
      <c r="B152">
        <v>6</v>
      </c>
      <c r="C152" s="4">
        <v>1200</v>
      </c>
      <c r="D152" s="4">
        <v>1200</v>
      </c>
      <c r="E152" s="4">
        <f t="shared" si="13"/>
        <v>2400</v>
      </c>
      <c r="F152" s="4">
        <v>0</v>
      </c>
      <c r="G152" s="4">
        <f t="shared" si="12"/>
        <v>2400</v>
      </c>
      <c r="H152" s="5">
        <f t="shared" si="11"/>
        <v>0</v>
      </c>
    </row>
    <row r="153" spans="1:8">
      <c r="A153" s="2">
        <v>45683</v>
      </c>
      <c r="B153">
        <v>1</v>
      </c>
      <c r="C153" s="4">
        <v>500</v>
      </c>
      <c r="D153" s="4">
        <v>500</v>
      </c>
      <c r="E153" s="4">
        <f t="shared" si="13"/>
        <v>1000</v>
      </c>
      <c r="F153" s="4">
        <v>195</v>
      </c>
      <c r="G153" s="4">
        <f t="shared" si="12"/>
        <v>805</v>
      </c>
      <c r="H153" s="5">
        <f t="shared" si="11"/>
        <v>0.19500000000000001</v>
      </c>
    </row>
    <row r="154" spans="1:8">
      <c r="B154" s="3">
        <v>2</v>
      </c>
      <c r="C154" s="4">
        <v>600</v>
      </c>
      <c r="D154" s="4">
        <v>600</v>
      </c>
      <c r="E154" s="4">
        <f t="shared" si="13"/>
        <v>1200</v>
      </c>
      <c r="F154" s="4">
        <v>50</v>
      </c>
      <c r="G154" s="4">
        <f t="shared" si="12"/>
        <v>1150</v>
      </c>
      <c r="H154" s="5">
        <f t="shared" si="11"/>
        <v>4.1666666666666664E-2</v>
      </c>
    </row>
    <row r="155" spans="1:8">
      <c r="B155">
        <v>3</v>
      </c>
      <c r="C155" s="4">
        <v>500</v>
      </c>
      <c r="D155" s="4">
        <v>500</v>
      </c>
      <c r="E155" s="4">
        <f t="shared" si="13"/>
        <v>1000</v>
      </c>
      <c r="F155" s="4">
        <v>90</v>
      </c>
      <c r="G155" s="4">
        <f t="shared" si="12"/>
        <v>910</v>
      </c>
      <c r="H155" s="5">
        <f t="shared" si="11"/>
        <v>0.09</v>
      </c>
    </row>
    <row r="156" spans="1:8">
      <c r="B156" s="3">
        <v>4</v>
      </c>
      <c r="C156" s="4">
        <v>600</v>
      </c>
      <c r="D156" s="4">
        <v>600</v>
      </c>
      <c r="E156" s="4">
        <f t="shared" si="13"/>
        <v>1200</v>
      </c>
      <c r="F156" s="4">
        <v>70</v>
      </c>
      <c r="G156" s="4">
        <f t="shared" si="12"/>
        <v>1130</v>
      </c>
      <c r="H156" s="5">
        <f t="shared" si="11"/>
        <v>5.8333333333333334E-2</v>
      </c>
    </row>
    <row r="157" spans="1:8">
      <c r="B157" s="3">
        <v>5</v>
      </c>
      <c r="C157" s="4">
        <v>450</v>
      </c>
      <c r="D157" s="4">
        <v>450</v>
      </c>
      <c r="E157" s="4">
        <f t="shared" si="13"/>
        <v>900</v>
      </c>
      <c r="F157" s="4">
        <v>115</v>
      </c>
      <c r="G157" s="4">
        <f t="shared" si="12"/>
        <v>785</v>
      </c>
      <c r="H157" s="5">
        <f t="shared" si="11"/>
        <v>0.12777777777777777</v>
      </c>
    </row>
    <row r="158" spans="1:8">
      <c r="B158">
        <v>6</v>
      </c>
      <c r="C158" s="4">
        <v>1100</v>
      </c>
      <c r="D158" s="4">
        <v>1100</v>
      </c>
      <c r="E158" s="4">
        <f t="shared" si="13"/>
        <v>2200</v>
      </c>
      <c r="F158" s="4">
        <v>75</v>
      </c>
      <c r="G158" s="4">
        <f t="shared" si="12"/>
        <v>2125</v>
      </c>
      <c r="H158" s="5">
        <f t="shared" si="11"/>
        <v>3.4090909090909088E-2</v>
      </c>
    </row>
    <row r="159" spans="1:8">
      <c r="A159" s="2">
        <v>45684</v>
      </c>
      <c r="B159">
        <v>1</v>
      </c>
      <c r="C159" s="4">
        <v>500</v>
      </c>
      <c r="D159" s="4">
        <v>500</v>
      </c>
      <c r="E159" s="4">
        <f t="shared" si="13"/>
        <v>1000</v>
      </c>
      <c r="F159" s="4">
        <v>195</v>
      </c>
      <c r="G159" s="4">
        <f t="shared" si="12"/>
        <v>805</v>
      </c>
      <c r="H159" s="5">
        <f t="shared" si="11"/>
        <v>0.19500000000000001</v>
      </c>
    </row>
    <row r="160" spans="1:8">
      <c r="B160" s="3">
        <v>2</v>
      </c>
      <c r="C160" s="4">
        <v>500</v>
      </c>
      <c r="D160" s="4">
        <v>500</v>
      </c>
      <c r="E160" s="4">
        <f t="shared" si="13"/>
        <v>1000</v>
      </c>
      <c r="F160" s="4">
        <v>50</v>
      </c>
      <c r="G160" s="4">
        <f t="shared" si="12"/>
        <v>950</v>
      </c>
      <c r="H160" s="5">
        <f t="shared" si="11"/>
        <v>0.05</v>
      </c>
    </row>
    <row r="161" spans="1:8">
      <c r="B161">
        <v>3</v>
      </c>
      <c r="C161" s="4">
        <v>500</v>
      </c>
      <c r="D161" s="4">
        <v>500</v>
      </c>
      <c r="E161" s="4">
        <f t="shared" si="13"/>
        <v>1000</v>
      </c>
      <c r="F161" s="4">
        <v>90</v>
      </c>
      <c r="G161" s="4">
        <f t="shared" si="12"/>
        <v>910</v>
      </c>
      <c r="H161" s="5">
        <f t="shared" si="11"/>
        <v>0.09</v>
      </c>
    </row>
    <row r="162" spans="1:8">
      <c r="B162" s="3">
        <v>4</v>
      </c>
      <c r="C162" s="4">
        <v>600</v>
      </c>
      <c r="D162" s="4">
        <v>600</v>
      </c>
      <c r="E162" s="4">
        <f t="shared" si="13"/>
        <v>1200</v>
      </c>
      <c r="F162" s="4">
        <v>70</v>
      </c>
      <c r="G162" s="4">
        <f t="shared" si="12"/>
        <v>1130</v>
      </c>
      <c r="H162" s="5">
        <f t="shared" si="11"/>
        <v>5.8333333333333334E-2</v>
      </c>
    </row>
    <row r="163" spans="1:8">
      <c r="B163" s="3">
        <v>5</v>
      </c>
      <c r="C163" s="4">
        <v>400</v>
      </c>
      <c r="D163" s="4">
        <v>400</v>
      </c>
      <c r="E163" s="4">
        <f t="shared" si="13"/>
        <v>800</v>
      </c>
      <c r="F163" s="4">
        <v>120</v>
      </c>
      <c r="G163" s="4">
        <f t="shared" si="12"/>
        <v>680</v>
      </c>
      <c r="H163" s="5">
        <f t="shared" si="11"/>
        <v>0.15</v>
      </c>
    </row>
    <row r="164" spans="1:8">
      <c r="B164">
        <v>6</v>
      </c>
      <c r="C164" s="4">
        <v>1100</v>
      </c>
      <c r="D164" s="4">
        <v>1100</v>
      </c>
      <c r="E164" s="4">
        <f t="shared" si="13"/>
        <v>2200</v>
      </c>
      <c r="F164" s="4">
        <v>50</v>
      </c>
      <c r="G164" s="4">
        <f t="shared" si="12"/>
        <v>2150</v>
      </c>
      <c r="H164" s="5">
        <f t="shared" si="11"/>
        <v>2.2727272727272728E-2</v>
      </c>
    </row>
    <row r="165" spans="1:8">
      <c r="A165" s="2">
        <v>45685</v>
      </c>
      <c r="B165">
        <v>1</v>
      </c>
      <c r="C165" s="4">
        <v>500</v>
      </c>
      <c r="D165" s="4">
        <v>500</v>
      </c>
      <c r="E165" s="4">
        <f t="shared" si="13"/>
        <v>1000</v>
      </c>
      <c r="F165" s="4">
        <v>50</v>
      </c>
      <c r="G165" s="4">
        <f t="shared" si="12"/>
        <v>950</v>
      </c>
      <c r="H165" s="5">
        <f t="shared" si="11"/>
        <v>0.05</v>
      </c>
    </row>
    <row r="166" spans="1:8">
      <c r="B166" s="3">
        <v>2</v>
      </c>
      <c r="C166" s="4">
        <v>500</v>
      </c>
      <c r="D166" s="4">
        <v>500</v>
      </c>
      <c r="E166" s="4">
        <f t="shared" si="13"/>
        <v>1000</v>
      </c>
      <c r="F166" s="4">
        <v>35</v>
      </c>
      <c r="G166" s="4">
        <f t="shared" si="12"/>
        <v>965</v>
      </c>
      <c r="H166" s="5">
        <f t="shared" si="11"/>
        <v>3.5000000000000003E-2</v>
      </c>
    </row>
    <row r="167" spans="1:8">
      <c r="B167">
        <v>3</v>
      </c>
      <c r="C167" s="4">
        <v>500</v>
      </c>
      <c r="D167" s="4">
        <v>500</v>
      </c>
      <c r="E167" s="4">
        <f t="shared" si="13"/>
        <v>1000</v>
      </c>
      <c r="F167" s="4">
        <v>40</v>
      </c>
      <c r="G167" s="4">
        <f t="shared" si="12"/>
        <v>960</v>
      </c>
      <c r="H167" s="5">
        <f t="shared" si="11"/>
        <v>0.04</v>
      </c>
    </row>
    <row r="168" spans="1:8">
      <c r="B168" s="3">
        <v>4</v>
      </c>
      <c r="C168" s="4">
        <v>600</v>
      </c>
      <c r="D168" s="4">
        <v>600</v>
      </c>
      <c r="E168" s="4">
        <f t="shared" si="13"/>
        <v>1200</v>
      </c>
      <c r="F168" s="4">
        <v>60</v>
      </c>
      <c r="G168" s="4">
        <f t="shared" ref="G168:G188" si="14">$E168-F168</f>
        <v>1140</v>
      </c>
      <c r="H168" s="5">
        <f t="shared" si="11"/>
        <v>0.05</v>
      </c>
    </row>
    <row r="169" spans="1:8">
      <c r="B169" s="3">
        <v>5</v>
      </c>
      <c r="C169" s="4">
        <v>400</v>
      </c>
      <c r="D169" s="4">
        <v>400</v>
      </c>
      <c r="E169" s="4">
        <f t="shared" si="13"/>
        <v>800</v>
      </c>
      <c r="F169" s="4">
        <v>15</v>
      </c>
      <c r="G169" s="4">
        <f t="shared" si="14"/>
        <v>785</v>
      </c>
      <c r="H169" s="5">
        <f t="shared" si="11"/>
        <v>1.8749999999999999E-2</v>
      </c>
    </row>
    <row r="170" spans="1:8">
      <c r="B170">
        <v>6</v>
      </c>
      <c r="C170" s="4">
        <v>1000</v>
      </c>
      <c r="D170" s="4">
        <v>1100</v>
      </c>
      <c r="E170" s="4">
        <f t="shared" si="13"/>
        <v>2100</v>
      </c>
      <c r="F170" s="4">
        <v>30</v>
      </c>
      <c r="G170" s="4">
        <f t="shared" si="14"/>
        <v>2070</v>
      </c>
      <c r="H170" s="5">
        <f t="shared" si="11"/>
        <v>1.4285714285714285E-2</v>
      </c>
    </row>
    <row r="171" spans="1:8">
      <c r="A171" s="2">
        <v>45686</v>
      </c>
      <c r="B171">
        <v>1</v>
      </c>
      <c r="C171" s="4">
        <v>500</v>
      </c>
      <c r="D171" s="4">
        <v>500</v>
      </c>
      <c r="E171" s="4">
        <f t="shared" si="13"/>
        <v>1000</v>
      </c>
      <c r="F171" s="4">
        <v>40</v>
      </c>
      <c r="G171" s="4">
        <f t="shared" si="14"/>
        <v>960</v>
      </c>
      <c r="H171" s="5">
        <f t="shared" si="11"/>
        <v>0.04</v>
      </c>
    </row>
    <row r="172" spans="1:8">
      <c r="B172" s="3">
        <v>2</v>
      </c>
      <c r="C172" s="4">
        <v>500</v>
      </c>
      <c r="D172" s="4">
        <v>500</v>
      </c>
      <c r="E172" s="4">
        <f t="shared" si="13"/>
        <v>1000</v>
      </c>
      <c r="F172" s="4">
        <v>30</v>
      </c>
      <c r="G172" s="4">
        <f t="shared" si="14"/>
        <v>970</v>
      </c>
      <c r="H172" s="5">
        <f t="shared" si="11"/>
        <v>0.03</v>
      </c>
    </row>
    <row r="173" spans="1:8">
      <c r="B173">
        <v>3</v>
      </c>
      <c r="C173" s="4">
        <v>500</v>
      </c>
      <c r="D173" s="4">
        <v>500</v>
      </c>
      <c r="E173" s="4">
        <f t="shared" si="13"/>
        <v>1000</v>
      </c>
      <c r="F173" s="4">
        <v>65</v>
      </c>
      <c r="G173" s="4">
        <f t="shared" si="14"/>
        <v>935</v>
      </c>
      <c r="H173" s="5">
        <f t="shared" si="11"/>
        <v>6.5000000000000002E-2</v>
      </c>
    </row>
    <row r="174" spans="1:8">
      <c r="B174" s="3">
        <v>4</v>
      </c>
      <c r="C174" s="4">
        <v>600</v>
      </c>
      <c r="D174" s="4">
        <v>600</v>
      </c>
      <c r="E174" s="4">
        <f t="shared" si="13"/>
        <v>1200</v>
      </c>
      <c r="F174" s="4">
        <v>80</v>
      </c>
      <c r="G174" s="4">
        <f t="shared" si="14"/>
        <v>1120</v>
      </c>
      <c r="H174" s="5">
        <f t="shared" si="11"/>
        <v>6.6666666666666666E-2</v>
      </c>
    </row>
    <row r="175" spans="1:8">
      <c r="B175" s="3">
        <v>5</v>
      </c>
      <c r="C175" s="4">
        <v>400</v>
      </c>
      <c r="D175" s="4">
        <v>400</v>
      </c>
      <c r="E175" s="4">
        <f t="shared" si="13"/>
        <v>800</v>
      </c>
      <c r="F175" s="4">
        <v>40</v>
      </c>
      <c r="G175" s="4">
        <f t="shared" si="14"/>
        <v>760</v>
      </c>
      <c r="H175" s="5">
        <f t="shared" si="11"/>
        <v>0.05</v>
      </c>
    </row>
    <row r="176" spans="1:8">
      <c r="B176">
        <v>6</v>
      </c>
      <c r="C176" s="4">
        <v>1100</v>
      </c>
      <c r="D176" s="4">
        <v>1100</v>
      </c>
      <c r="E176" s="4">
        <f t="shared" si="13"/>
        <v>2200</v>
      </c>
      <c r="F176" s="4">
        <v>45</v>
      </c>
      <c r="G176" s="4">
        <f t="shared" si="14"/>
        <v>2155</v>
      </c>
      <c r="H176" s="5">
        <f t="shared" si="11"/>
        <v>2.0454545454545454E-2</v>
      </c>
    </row>
    <row r="177" spans="1:8">
      <c r="A177" s="2">
        <v>45687</v>
      </c>
      <c r="B177">
        <v>1</v>
      </c>
      <c r="C177" s="4">
        <v>500</v>
      </c>
      <c r="D177" s="4">
        <v>500</v>
      </c>
      <c r="E177" s="4">
        <f t="shared" si="13"/>
        <v>1000</v>
      </c>
      <c r="F177" s="4">
        <v>25</v>
      </c>
      <c r="G177" s="4">
        <f t="shared" si="14"/>
        <v>975</v>
      </c>
      <c r="H177" s="5">
        <f t="shared" si="11"/>
        <v>2.5000000000000001E-2</v>
      </c>
    </row>
    <row r="178" spans="1:8">
      <c r="B178" s="3">
        <v>2</v>
      </c>
      <c r="C178" s="4">
        <v>500</v>
      </c>
      <c r="D178" s="4">
        <v>500</v>
      </c>
      <c r="E178" s="4">
        <f t="shared" si="13"/>
        <v>1000</v>
      </c>
      <c r="F178" s="4">
        <v>30</v>
      </c>
      <c r="G178" s="4">
        <f t="shared" si="14"/>
        <v>970</v>
      </c>
      <c r="H178" s="5">
        <f t="shared" si="11"/>
        <v>0.03</v>
      </c>
    </row>
    <row r="179" spans="1:8">
      <c r="B179">
        <v>3</v>
      </c>
      <c r="C179" s="4">
        <v>500</v>
      </c>
      <c r="D179" s="4">
        <v>500</v>
      </c>
      <c r="E179" s="4">
        <f t="shared" si="13"/>
        <v>1000</v>
      </c>
      <c r="F179" s="4">
        <v>5</v>
      </c>
      <c r="G179" s="4">
        <f t="shared" si="14"/>
        <v>995</v>
      </c>
      <c r="H179" s="5">
        <f t="shared" si="11"/>
        <v>5.0000000000000001E-3</v>
      </c>
    </row>
    <row r="180" spans="1:8">
      <c r="B180" s="3">
        <v>4</v>
      </c>
      <c r="C180" s="4">
        <v>600</v>
      </c>
      <c r="D180" s="4">
        <v>600</v>
      </c>
      <c r="E180" s="4">
        <f t="shared" si="13"/>
        <v>1200</v>
      </c>
      <c r="F180" s="4">
        <v>50</v>
      </c>
      <c r="G180" s="4">
        <f t="shared" si="14"/>
        <v>1150</v>
      </c>
      <c r="H180" s="5">
        <f t="shared" si="11"/>
        <v>4.1666666666666664E-2</v>
      </c>
    </row>
    <row r="181" spans="1:8">
      <c r="B181" s="3">
        <v>5</v>
      </c>
      <c r="C181" s="4">
        <v>400</v>
      </c>
      <c r="D181" s="4">
        <v>400</v>
      </c>
      <c r="E181" s="4">
        <f t="shared" si="13"/>
        <v>800</v>
      </c>
      <c r="F181" s="4">
        <v>65</v>
      </c>
      <c r="G181" s="4">
        <f t="shared" si="14"/>
        <v>735</v>
      </c>
      <c r="H181" s="5">
        <f t="shared" si="11"/>
        <v>8.1250000000000003E-2</v>
      </c>
    </row>
    <row r="182" spans="1:8">
      <c r="B182">
        <v>6</v>
      </c>
      <c r="C182" s="4">
        <v>1100</v>
      </c>
      <c r="D182" s="4">
        <v>1100</v>
      </c>
      <c r="E182" s="4">
        <f>$C182+D182</f>
        <v>2200</v>
      </c>
      <c r="F182" s="4">
        <v>70</v>
      </c>
      <c r="G182" s="4">
        <f t="shared" si="14"/>
        <v>2130</v>
      </c>
      <c r="H182" s="5">
        <f t="shared" si="11"/>
        <v>3.1818181818181815E-2</v>
      </c>
    </row>
    <row r="183" spans="1:8">
      <c r="A183" s="2">
        <v>45688</v>
      </c>
      <c r="B183">
        <v>1</v>
      </c>
      <c r="C183" s="4">
        <v>500</v>
      </c>
      <c r="D183" s="4">
        <v>500</v>
      </c>
      <c r="E183" s="4">
        <f t="shared" si="13"/>
        <v>1000</v>
      </c>
      <c r="F183" s="4">
        <v>0</v>
      </c>
      <c r="G183" s="4">
        <f t="shared" si="14"/>
        <v>1000</v>
      </c>
      <c r="H183" s="5">
        <f t="shared" si="11"/>
        <v>0</v>
      </c>
    </row>
    <row r="184" spans="1:8">
      <c r="B184" s="3">
        <v>2</v>
      </c>
      <c r="C184" s="4">
        <v>500</v>
      </c>
      <c r="D184" s="4">
        <v>500</v>
      </c>
      <c r="E184" s="4">
        <f t="shared" si="13"/>
        <v>1000</v>
      </c>
      <c r="F184" s="4">
        <v>40</v>
      </c>
      <c r="G184" s="4">
        <f t="shared" si="14"/>
        <v>960</v>
      </c>
      <c r="H184" s="5">
        <f t="shared" si="11"/>
        <v>0.04</v>
      </c>
    </row>
    <row r="185" spans="1:8">
      <c r="B185">
        <v>3</v>
      </c>
      <c r="C185" s="4">
        <v>500</v>
      </c>
      <c r="D185" s="4">
        <v>500</v>
      </c>
      <c r="E185" s="4">
        <f t="shared" si="13"/>
        <v>1000</v>
      </c>
      <c r="F185" s="4">
        <v>140</v>
      </c>
      <c r="G185" s="4">
        <f t="shared" si="14"/>
        <v>860</v>
      </c>
      <c r="H185" s="5">
        <f t="shared" si="11"/>
        <v>0.14000000000000001</v>
      </c>
    </row>
    <row r="186" spans="1:8">
      <c r="B186" s="3">
        <v>4</v>
      </c>
      <c r="C186" s="4">
        <v>600</v>
      </c>
      <c r="D186" s="4">
        <v>600</v>
      </c>
      <c r="E186" s="4">
        <f t="shared" si="13"/>
        <v>1200</v>
      </c>
      <c r="F186" s="4">
        <v>95</v>
      </c>
      <c r="G186" s="4">
        <f t="shared" si="14"/>
        <v>1105</v>
      </c>
      <c r="H186" s="5">
        <f t="shared" si="11"/>
        <v>7.9166666666666663E-2</v>
      </c>
    </row>
    <row r="187" spans="1:8">
      <c r="B187" s="3">
        <v>5</v>
      </c>
      <c r="C187" s="4">
        <v>400</v>
      </c>
      <c r="D187" s="4">
        <v>400</v>
      </c>
      <c r="E187" s="4">
        <f t="shared" si="13"/>
        <v>800</v>
      </c>
      <c r="F187" s="4">
        <v>80</v>
      </c>
      <c r="G187" s="4">
        <f t="shared" si="14"/>
        <v>720</v>
      </c>
      <c r="H187" s="5">
        <f t="shared" si="11"/>
        <v>0.1</v>
      </c>
    </row>
    <row r="188" spans="1:8">
      <c r="B188">
        <v>6</v>
      </c>
      <c r="C188" s="4">
        <v>1000</v>
      </c>
      <c r="D188" s="4">
        <v>1000</v>
      </c>
      <c r="E188" s="4">
        <f t="shared" si="13"/>
        <v>2000</v>
      </c>
      <c r="F188" s="4">
        <v>210</v>
      </c>
      <c r="G188" s="4">
        <f t="shared" si="14"/>
        <v>1790</v>
      </c>
      <c r="H188" s="5">
        <f t="shared" si="11"/>
        <v>0.105</v>
      </c>
    </row>
    <row r="189" spans="1:8">
      <c r="D189" s="9" t="s">
        <v>13</v>
      </c>
      <c r="E189" s="9">
        <f>SUM(E3:E188)</f>
        <v>245010</v>
      </c>
      <c r="F189" s="9">
        <f>SUM(F3:F188)</f>
        <v>14030</v>
      </c>
    </row>
    <row r="191" spans="1:8">
      <c r="D191" s="7" t="s">
        <v>14</v>
      </c>
      <c r="E191" s="7" t="s">
        <v>5</v>
      </c>
      <c r="F191" s="7" t="s">
        <v>4</v>
      </c>
      <c r="G191" s="7" t="s">
        <v>7</v>
      </c>
      <c r="H191" s="7" t="s">
        <v>11</v>
      </c>
    </row>
    <row r="192" spans="1:8">
      <c r="C192" s="4" t="s">
        <v>12</v>
      </c>
      <c r="D192" s="4">
        <v>162</v>
      </c>
      <c r="E192" s="8">
        <f>AVERAGE(E3:E188)</f>
        <v>1317.258064516129</v>
      </c>
      <c r="G192" s="8">
        <f>AVERAGE(G3:G188)</f>
        <v>1241.8279569892472</v>
      </c>
      <c r="H192" s="6">
        <f>AVERAGE(H3:H188)</f>
        <v>6.2029593130929837E-2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FDB5-4733-4B22-BEC5-1B5A002EE105}">
  <dimension ref="A1:H170"/>
  <sheetViews>
    <sheetView zoomScale="90" zoomScaleNormal="90" workbookViewId="0">
      <selection activeCell="J13" sqref="J13"/>
    </sheetView>
  </sheetViews>
  <sheetFormatPr baseColWidth="10" defaultRowHeight="14"/>
  <cols>
    <col min="5" max="5" width="12.83203125" customWidth="1"/>
    <col min="6" max="6" width="13.25" customWidth="1"/>
  </cols>
  <sheetData>
    <row r="1" spans="1:8" ht="20.5" thickBot="1">
      <c r="A1" s="96" t="s">
        <v>9</v>
      </c>
      <c r="B1" s="96"/>
      <c r="C1" s="96"/>
      <c r="D1" s="96"/>
      <c r="E1" s="96"/>
      <c r="F1" s="96"/>
      <c r="G1" s="96"/>
      <c r="H1" s="96"/>
    </row>
    <row r="2" spans="1:8" ht="18.5" thickBot="1">
      <c r="A2" s="16" t="s">
        <v>0</v>
      </c>
      <c r="B2" s="18" t="s">
        <v>1</v>
      </c>
      <c r="C2" s="18" t="s">
        <v>2</v>
      </c>
      <c r="D2" s="18" t="s">
        <v>3</v>
      </c>
      <c r="E2" s="18" t="s">
        <v>5</v>
      </c>
      <c r="F2" s="18" t="s">
        <v>4</v>
      </c>
      <c r="G2" s="18" t="s">
        <v>7</v>
      </c>
      <c r="H2" s="17" t="s">
        <v>8</v>
      </c>
    </row>
    <row r="3" spans="1:8">
      <c r="A3" s="2">
        <v>45689</v>
      </c>
      <c r="B3">
        <v>1</v>
      </c>
      <c r="C3">
        <v>500</v>
      </c>
      <c r="D3">
        <v>500</v>
      </c>
      <c r="E3">
        <f>$C3+D3</f>
        <v>1000</v>
      </c>
      <c r="F3">
        <v>0</v>
      </c>
      <c r="G3">
        <f>$E3-F3</f>
        <v>1000</v>
      </c>
      <c r="H3">
        <f>F3/E3</f>
        <v>0</v>
      </c>
    </row>
    <row r="4" spans="1:8">
      <c r="B4" s="3">
        <v>2</v>
      </c>
      <c r="C4">
        <v>500</v>
      </c>
      <c r="D4">
        <v>500</v>
      </c>
      <c r="E4">
        <f t="shared" ref="E4:E128" si="0">$C4+D4</f>
        <v>1000</v>
      </c>
      <c r="F4">
        <v>15</v>
      </c>
      <c r="G4">
        <f t="shared" ref="G4:G127" si="1">$E4-F4</f>
        <v>985</v>
      </c>
      <c r="H4" s="1">
        <f>$F4/E4</f>
        <v>1.4999999999999999E-2</v>
      </c>
    </row>
    <row r="5" spans="1:8">
      <c r="B5">
        <v>3</v>
      </c>
      <c r="C5">
        <v>500</v>
      </c>
      <c r="D5">
        <v>500</v>
      </c>
      <c r="E5">
        <f t="shared" si="0"/>
        <v>1000</v>
      </c>
      <c r="F5">
        <v>110</v>
      </c>
      <c r="G5">
        <f t="shared" si="1"/>
        <v>890</v>
      </c>
      <c r="H5" s="1">
        <f t="shared" ref="H5:H88" si="2">$F5/E5</f>
        <v>0.11</v>
      </c>
    </row>
    <row r="6" spans="1:8">
      <c r="B6" s="3">
        <v>4</v>
      </c>
      <c r="C6">
        <v>600</v>
      </c>
      <c r="D6">
        <v>600</v>
      </c>
      <c r="E6">
        <f t="shared" si="0"/>
        <v>1200</v>
      </c>
      <c r="F6">
        <v>45</v>
      </c>
      <c r="G6">
        <f t="shared" si="1"/>
        <v>1155</v>
      </c>
      <c r="H6" s="1">
        <f t="shared" si="2"/>
        <v>3.7499999999999999E-2</v>
      </c>
    </row>
    <row r="7" spans="1:8">
      <c r="B7" s="3">
        <v>5</v>
      </c>
      <c r="C7">
        <v>400</v>
      </c>
      <c r="D7">
        <v>400</v>
      </c>
      <c r="E7">
        <f t="shared" si="0"/>
        <v>800</v>
      </c>
      <c r="F7">
        <v>30</v>
      </c>
      <c r="G7">
        <f t="shared" si="1"/>
        <v>770</v>
      </c>
      <c r="H7" s="1">
        <f t="shared" si="2"/>
        <v>3.7499999999999999E-2</v>
      </c>
    </row>
    <row r="8" spans="1:8">
      <c r="B8">
        <v>6</v>
      </c>
      <c r="C8">
        <v>900</v>
      </c>
      <c r="D8">
        <v>900</v>
      </c>
      <c r="E8">
        <f t="shared" si="0"/>
        <v>1800</v>
      </c>
      <c r="F8">
        <v>25</v>
      </c>
      <c r="G8">
        <f t="shared" si="1"/>
        <v>1775</v>
      </c>
      <c r="H8" s="1">
        <f t="shared" si="2"/>
        <v>1.3888888888888888E-2</v>
      </c>
    </row>
    <row r="9" spans="1:8">
      <c r="A9" s="2">
        <v>45690</v>
      </c>
      <c r="B9">
        <v>1</v>
      </c>
      <c r="C9">
        <v>500</v>
      </c>
      <c r="D9">
        <v>500</v>
      </c>
      <c r="E9">
        <f t="shared" si="0"/>
        <v>1000</v>
      </c>
      <c r="F9">
        <v>15</v>
      </c>
      <c r="G9">
        <f t="shared" si="1"/>
        <v>985</v>
      </c>
      <c r="H9" s="1">
        <f t="shared" si="2"/>
        <v>1.4999999999999999E-2</v>
      </c>
    </row>
    <row r="10" spans="1:8">
      <c r="B10" s="3">
        <v>2</v>
      </c>
      <c r="C10">
        <v>500</v>
      </c>
      <c r="D10">
        <v>500</v>
      </c>
      <c r="E10">
        <f t="shared" si="0"/>
        <v>1000</v>
      </c>
      <c r="F10">
        <v>25</v>
      </c>
      <c r="G10">
        <f t="shared" si="1"/>
        <v>975</v>
      </c>
      <c r="H10" s="1">
        <f t="shared" si="2"/>
        <v>2.5000000000000001E-2</v>
      </c>
    </row>
    <row r="11" spans="1:8">
      <c r="B11">
        <v>3</v>
      </c>
      <c r="C11">
        <v>500</v>
      </c>
      <c r="D11">
        <v>500</v>
      </c>
      <c r="E11">
        <f t="shared" si="0"/>
        <v>1000</v>
      </c>
      <c r="F11">
        <v>150</v>
      </c>
      <c r="G11">
        <f t="shared" si="1"/>
        <v>850</v>
      </c>
      <c r="H11" s="1">
        <f t="shared" si="2"/>
        <v>0.15</v>
      </c>
    </row>
    <row r="12" spans="1:8">
      <c r="B12" s="3">
        <v>4</v>
      </c>
      <c r="C12">
        <v>600</v>
      </c>
      <c r="D12">
        <v>600</v>
      </c>
      <c r="E12">
        <f t="shared" si="0"/>
        <v>1200</v>
      </c>
      <c r="F12">
        <v>20</v>
      </c>
      <c r="G12">
        <f t="shared" si="1"/>
        <v>1180</v>
      </c>
      <c r="H12" s="1">
        <f t="shared" si="2"/>
        <v>1.6666666666666666E-2</v>
      </c>
    </row>
    <row r="13" spans="1:8">
      <c r="B13" s="3">
        <v>5</v>
      </c>
      <c r="C13">
        <v>400</v>
      </c>
      <c r="D13">
        <v>400</v>
      </c>
      <c r="E13">
        <f t="shared" si="0"/>
        <v>800</v>
      </c>
      <c r="F13">
        <v>30</v>
      </c>
      <c r="G13">
        <f t="shared" si="1"/>
        <v>770</v>
      </c>
      <c r="H13" s="1">
        <f t="shared" si="2"/>
        <v>3.7499999999999999E-2</v>
      </c>
    </row>
    <row r="14" spans="1:8">
      <c r="B14">
        <v>6</v>
      </c>
      <c r="C14">
        <v>900</v>
      </c>
      <c r="D14">
        <v>1000</v>
      </c>
      <c r="E14">
        <f t="shared" si="0"/>
        <v>1900</v>
      </c>
      <c r="F14">
        <v>0</v>
      </c>
      <c r="G14">
        <f t="shared" si="1"/>
        <v>1900</v>
      </c>
      <c r="H14" s="1">
        <f t="shared" si="2"/>
        <v>0</v>
      </c>
    </row>
    <row r="15" spans="1:8">
      <c r="A15" s="2">
        <v>45719</v>
      </c>
      <c r="B15">
        <v>1</v>
      </c>
      <c r="C15">
        <v>500</v>
      </c>
      <c r="D15">
        <v>500</v>
      </c>
      <c r="E15">
        <f t="shared" si="0"/>
        <v>1000</v>
      </c>
      <c r="F15">
        <v>10</v>
      </c>
      <c r="G15">
        <f t="shared" si="1"/>
        <v>990</v>
      </c>
      <c r="H15" s="1">
        <f t="shared" si="2"/>
        <v>0.01</v>
      </c>
    </row>
    <row r="16" spans="1:8">
      <c r="B16" s="3">
        <v>2</v>
      </c>
      <c r="C16">
        <v>600</v>
      </c>
      <c r="D16">
        <v>600</v>
      </c>
      <c r="E16">
        <f t="shared" si="0"/>
        <v>1200</v>
      </c>
      <c r="F16">
        <v>5</v>
      </c>
      <c r="G16">
        <f t="shared" si="1"/>
        <v>1195</v>
      </c>
      <c r="H16" s="1">
        <f t="shared" si="2"/>
        <v>4.1666666666666666E-3</v>
      </c>
    </row>
    <row r="17" spans="1:8">
      <c r="B17">
        <v>3</v>
      </c>
      <c r="C17">
        <v>500</v>
      </c>
      <c r="D17">
        <v>500</v>
      </c>
      <c r="E17">
        <f t="shared" si="0"/>
        <v>1000</v>
      </c>
      <c r="F17">
        <v>100</v>
      </c>
      <c r="G17">
        <f t="shared" si="1"/>
        <v>900</v>
      </c>
      <c r="H17" s="1">
        <f t="shared" si="2"/>
        <v>0.1</v>
      </c>
    </row>
    <row r="18" spans="1:8">
      <c r="B18" s="3">
        <v>4</v>
      </c>
      <c r="C18">
        <v>600</v>
      </c>
      <c r="D18">
        <v>600</v>
      </c>
      <c r="E18">
        <f t="shared" si="0"/>
        <v>1200</v>
      </c>
      <c r="F18">
        <v>120</v>
      </c>
      <c r="G18">
        <f t="shared" si="1"/>
        <v>1080</v>
      </c>
      <c r="H18" s="1">
        <f t="shared" si="2"/>
        <v>0.1</v>
      </c>
    </row>
    <row r="19" spans="1:8">
      <c r="B19" s="3">
        <v>5</v>
      </c>
      <c r="C19">
        <v>400</v>
      </c>
      <c r="D19">
        <v>400</v>
      </c>
      <c r="E19">
        <f t="shared" si="0"/>
        <v>800</v>
      </c>
      <c r="F19">
        <v>15</v>
      </c>
      <c r="G19">
        <f t="shared" si="1"/>
        <v>785</v>
      </c>
      <c r="H19" s="1">
        <f t="shared" si="2"/>
        <v>1.8749999999999999E-2</v>
      </c>
    </row>
    <row r="20" spans="1:8">
      <c r="B20">
        <v>6</v>
      </c>
      <c r="C20">
        <v>1000</v>
      </c>
      <c r="D20">
        <v>1000</v>
      </c>
      <c r="E20">
        <f t="shared" si="0"/>
        <v>2000</v>
      </c>
      <c r="F20">
        <v>10</v>
      </c>
      <c r="G20">
        <f t="shared" si="1"/>
        <v>1990</v>
      </c>
      <c r="H20" s="1">
        <f t="shared" si="2"/>
        <v>5.0000000000000001E-3</v>
      </c>
    </row>
    <row r="21" spans="1:8">
      <c r="A21" s="2">
        <v>45692</v>
      </c>
      <c r="B21">
        <v>1</v>
      </c>
      <c r="C21">
        <v>500</v>
      </c>
      <c r="D21">
        <v>500</v>
      </c>
      <c r="E21">
        <f t="shared" si="0"/>
        <v>1000</v>
      </c>
      <c r="F21">
        <v>25</v>
      </c>
      <c r="G21">
        <f t="shared" si="1"/>
        <v>975</v>
      </c>
      <c r="H21" s="1">
        <f t="shared" si="2"/>
        <v>2.5000000000000001E-2</v>
      </c>
    </row>
    <row r="22" spans="1:8">
      <c r="B22" s="3">
        <v>2</v>
      </c>
      <c r="C22">
        <v>600</v>
      </c>
      <c r="D22">
        <v>600</v>
      </c>
      <c r="E22">
        <f t="shared" si="0"/>
        <v>1200</v>
      </c>
      <c r="F22">
        <v>0</v>
      </c>
      <c r="G22">
        <f t="shared" si="1"/>
        <v>1200</v>
      </c>
      <c r="H22" s="1">
        <f t="shared" si="2"/>
        <v>0</v>
      </c>
    </row>
    <row r="23" spans="1:8">
      <c r="B23">
        <v>3</v>
      </c>
      <c r="C23">
        <v>500</v>
      </c>
      <c r="D23">
        <v>500</v>
      </c>
      <c r="E23">
        <f t="shared" si="0"/>
        <v>1000</v>
      </c>
      <c r="F23">
        <v>30</v>
      </c>
      <c r="G23">
        <f t="shared" si="1"/>
        <v>970</v>
      </c>
      <c r="H23" s="1">
        <f t="shared" si="2"/>
        <v>0.03</v>
      </c>
    </row>
    <row r="24" spans="1:8">
      <c r="B24" s="3">
        <v>4</v>
      </c>
      <c r="C24">
        <v>600</v>
      </c>
      <c r="D24">
        <v>600</v>
      </c>
      <c r="E24">
        <f t="shared" si="0"/>
        <v>1200</v>
      </c>
      <c r="F24">
        <v>0</v>
      </c>
      <c r="G24">
        <f t="shared" si="1"/>
        <v>1200</v>
      </c>
      <c r="H24" s="1">
        <f t="shared" si="2"/>
        <v>0</v>
      </c>
    </row>
    <row r="25" spans="1:8">
      <c r="B25" s="3">
        <v>5</v>
      </c>
      <c r="C25">
        <v>400</v>
      </c>
      <c r="D25">
        <v>400</v>
      </c>
      <c r="E25">
        <f t="shared" si="0"/>
        <v>800</v>
      </c>
      <c r="F25">
        <v>0</v>
      </c>
      <c r="G25">
        <f t="shared" si="1"/>
        <v>800</v>
      </c>
      <c r="H25" s="1">
        <f t="shared" si="2"/>
        <v>0</v>
      </c>
    </row>
    <row r="26" spans="1:8">
      <c r="B26">
        <v>6</v>
      </c>
      <c r="C26">
        <v>1000</v>
      </c>
      <c r="D26">
        <v>1100</v>
      </c>
      <c r="E26">
        <f t="shared" si="0"/>
        <v>2100</v>
      </c>
      <c r="F26">
        <v>135</v>
      </c>
      <c r="G26">
        <f t="shared" si="1"/>
        <v>1965</v>
      </c>
      <c r="H26" s="1">
        <f t="shared" si="2"/>
        <v>6.4285714285714279E-2</v>
      </c>
    </row>
    <row r="27" spans="1:8">
      <c r="A27" s="2">
        <v>45693</v>
      </c>
      <c r="B27">
        <v>1</v>
      </c>
      <c r="C27">
        <v>500</v>
      </c>
      <c r="D27">
        <v>500</v>
      </c>
      <c r="E27">
        <f t="shared" si="0"/>
        <v>1000</v>
      </c>
      <c r="F27">
        <v>40</v>
      </c>
      <c r="G27">
        <f t="shared" si="1"/>
        <v>960</v>
      </c>
      <c r="H27" s="1">
        <f t="shared" si="2"/>
        <v>0.04</v>
      </c>
    </row>
    <row r="28" spans="1:8">
      <c r="B28" s="3">
        <v>2</v>
      </c>
      <c r="C28">
        <v>500</v>
      </c>
      <c r="D28">
        <v>650</v>
      </c>
      <c r="E28">
        <f t="shared" si="0"/>
        <v>1150</v>
      </c>
      <c r="F28">
        <v>35</v>
      </c>
      <c r="G28">
        <f t="shared" si="1"/>
        <v>1115</v>
      </c>
      <c r="H28" s="1">
        <f t="shared" si="2"/>
        <v>3.0434782608695653E-2</v>
      </c>
    </row>
    <row r="29" spans="1:8">
      <c r="B29">
        <v>3</v>
      </c>
      <c r="C29">
        <v>500</v>
      </c>
      <c r="D29">
        <v>500</v>
      </c>
      <c r="E29">
        <f t="shared" si="0"/>
        <v>1000</v>
      </c>
      <c r="F29">
        <v>80</v>
      </c>
      <c r="G29">
        <f t="shared" si="1"/>
        <v>920</v>
      </c>
      <c r="H29" s="1">
        <f t="shared" si="2"/>
        <v>0.08</v>
      </c>
    </row>
    <row r="30" spans="1:8">
      <c r="B30" s="3">
        <v>4</v>
      </c>
      <c r="C30">
        <v>600</v>
      </c>
      <c r="D30">
        <v>640</v>
      </c>
      <c r="E30">
        <f t="shared" si="0"/>
        <v>1240</v>
      </c>
      <c r="F30">
        <v>25</v>
      </c>
      <c r="G30">
        <f t="shared" si="1"/>
        <v>1215</v>
      </c>
      <c r="H30" s="1">
        <f t="shared" si="2"/>
        <v>2.0161290322580645E-2</v>
      </c>
    </row>
    <row r="31" spans="1:8">
      <c r="B31" s="3">
        <v>5</v>
      </c>
      <c r="C31">
        <v>400</v>
      </c>
      <c r="D31">
        <v>380</v>
      </c>
      <c r="E31">
        <f t="shared" si="0"/>
        <v>780</v>
      </c>
      <c r="F31">
        <v>0</v>
      </c>
      <c r="G31">
        <f t="shared" si="1"/>
        <v>780</v>
      </c>
      <c r="H31" s="1">
        <f t="shared" si="2"/>
        <v>0</v>
      </c>
    </row>
    <row r="32" spans="1:8">
      <c r="B32">
        <v>6</v>
      </c>
      <c r="C32">
        <v>1000</v>
      </c>
      <c r="D32">
        <v>1000</v>
      </c>
      <c r="E32">
        <f t="shared" si="0"/>
        <v>2000</v>
      </c>
      <c r="F32">
        <v>75</v>
      </c>
      <c r="G32">
        <f t="shared" si="1"/>
        <v>1925</v>
      </c>
      <c r="H32" s="1">
        <f t="shared" si="2"/>
        <v>3.7499999999999999E-2</v>
      </c>
    </row>
    <row r="33" spans="1:8">
      <c r="A33" s="2">
        <v>45694</v>
      </c>
      <c r="B33">
        <v>1</v>
      </c>
      <c r="C33">
        <v>500</v>
      </c>
      <c r="D33">
        <v>500</v>
      </c>
      <c r="E33">
        <f t="shared" si="0"/>
        <v>1000</v>
      </c>
      <c r="F33">
        <v>35</v>
      </c>
      <c r="G33">
        <f t="shared" si="1"/>
        <v>965</v>
      </c>
      <c r="H33" s="1">
        <f t="shared" si="2"/>
        <v>3.5000000000000003E-2</v>
      </c>
    </row>
    <row r="34" spans="1:8">
      <c r="B34" s="3">
        <v>2</v>
      </c>
      <c r="C34">
        <v>500</v>
      </c>
      <c r="D34">
        <v>500</v>
      </c>
      <c r="E34">
        <f t="shared" si="0"/>
        <v>1000</v>
      </c>
      <c r="F34">
        <v>60</v>
      </c>
      <c r="G34">
        <f t="shared" si="1"/>
        <v>940</v>
      </c>
      <c r="H34" s="1">
        <f t="shared" si="2"/>
        <v>0.06</v>
      </c>
    </row>
    <row r="35" spans="1:8">
      <c r="B35">
        <v>3</v>
      </c>
      <c r="C35">
        <v>500</v>
      </c>
      <c r="D35">
        <v>500</v>
      </c>
      <c r="E35">
        <f t="shared" si="0"/>
        <v>1000</v>
      </c>
      <c r="F35">
        <v>95</v>
      </c>
      <c r="G35">
        <f t="shared" si="1"/>
        <v>905</v>
      </c>
      <c r="H35" s="1">
        <f t="shared" si="2"/>
        <v>9.5000000000000001E-2</v>
      </c>
    </row>
    <row r="36" spans="1:8">
      <c r="B36" s="3">
        <v>4</v>
      </c>
      <c r="C36">
        <v>600</v>
      </c>
      <c r="D36">
        <v>600</v>
      </c>
      <c r="E36">
        <f t="shared" si="0"/>
        <v>1200</v>
      </c>
      <c r="F36">
        <v>30</v>
      </c>
      <c r="G36">
        <f t="shared" si="1"/>
        <v>1170</v>
      </c>
      <c r="H36" s="1">
        <f t="shared" si="2"/>
        <v>2.5000000000000001E-2</v>
      </c>
    </row>
    <row r="37" spans="1:8">
      <c r="B37" s="3">
        <v>5</v>
      </c>
      <c r="C37">
        <v>500</v>
      </c>
      <c r="D37">
        <v>450</v>
      </c>
      <c r="E37">
        <f t="shared" si="0"/>
        <v>950</v>
      </c>
      <c r="F37">
        <v>40</v>
      </c>
      <c r="G37">
        <f t="shared" si="1"/>
        <v>910</v>
      </c>
      <c r="H37" s="1">
        <f t="shared" si="2"/>
        <v>4.2105263157894736E-2</v>
      </c>
    </row>
    <row r="38" spans="1:8">
      <c r="B38">
        <v>6</v>
      </c>
      <c r="C38">
        <v>900</v>
      </c>
      <c r="D38">
        <v>900</v>
      </c>
      <c r="E38">
        <f t="shared" si="0"/>
        <v>1800</v>
      </c>
      <c r="F38">
        <v>135</v>
      </c>
      <c r="G38">
        <f t="shared" si="1"/>
        <v>1665</v>
      </c>
      <c r="H38" s="1">
        <f t="shared" si="2"/>
        <v>7.4999999999999997E-2</v>
      </c>
    </row>
    <row r="39" spans="1:8">
      <c r="A39" t="s">
        <v>10</v>
      </c>
      <c r="B39">
        <v>1</v>
      </c>
      <c r="C39">
        <v>500</v>
      </c>
      <c r="D39">
        <v>500</v>
      </c>
      <c r="E39">
        <f t="shared" si="0"/>
        <v>1000</v>
      </c>
      <c r="F39">
        <v>25</v>
      </c>
      <c r="G39">
        <f t="shared" si="1"/>
        <v>975</v>
      </c>
      <c r="H39" s="1">
        <f t="shared" si="2"/>
        <v>2.5000000000000001E-2</v>
      </c>
    </row>
    <row r="40" spans="1:8">
      <c r="B40" s="3">
        <v>2</v>
      </c>
      <c r="C40">
        <v>500</v>
      </c>
      <c r="D40">
        <v>500</v>
      </c>
      <c r="E40">
        <f t="shared" si="0"/>
        <v>1000</v>
      </c>
      <c r="F40">
        <v>35</v>
      </c>
      <c r="G40">
        <f t="shared" si="1"/>
        <v>965</v>
      </c>
      <c r="H40" s="1">
        <f t="shared" si="2"/>
        <v>3.5000000000000003E-2</v>
      </c>
    </row>
    <row r="41" spans="1:8">
      <c r="B41">
        <v>3</v>
      </c>
      <c r="C41">
        <v>500</v>
      </c>
      <c r="D41">
        <v>500</v>
      </c>
      <c r="E41">
        <f t="shared" si="0"/>
        <v>1000</v>
      </c>
      <c r="F41">
        <v>70</v>
      </c>
      <c r="G41">
        <f t="shared" si="1"/>
        <v>930</v>
      </c>
      <c r="H41" s="1">
        <f t="shared" si="2"/>
        <v>7.0000000000000007E-2</v>
      </c>
    </row>
    <row r="42" spans="1:8">
      <c r="B42" s="3">
        <v>4</v>
      </c>
      <c r="C42">
        <v>600</v>
      </c>
      <c r="D42">
        <v>600</v>
      </c>
      <c r="E42">
        <f t="shared" si="0"/>
        <v>1200</v>
      </c>
      <c r="F42">
        <v>30</v>
      </c>
      <c r="G42">
        <f t="shared" si="1"/>
        <v>1170</v>
      </c>
      <c r="H42" s="1">
        <f t="shared" si="2"/>
        <v>2.5000000000000001E-2</v>
      </c>
    </row>
    <row r="43" spans="1:8">
      <c r="B43" s="3">
        <v>5</v>
      </c>
      <c r="C43">
        <v>500</v>
      </c>
      <c r="D43">
        <v>500</v>
      </c>
      <c r="E43">
        <f t="shared" si="0"/>
        <v>1000</v>
      </c>
      <c r="F43">
        <v>65</v>
      </c>
      <c r="G43">
        <f t="shared" si="1"/>
        <v>935</v>
      </c>
      <c r="H43" s="1">
        <f t="shared" si="2"/>
        <v>6.5000000000000002E-2</v>
      </c>
    </row>
    <row r="44" spans="1:8">
      <c r="B44">
        <v>6</v>
      </c>
      <c r="C44">
        <v>900</v>
      </c>
      <c r="D44">
        <v>900</v>
      </c>
      <c r="E44">
        <f t="shared" si="0"/>
        <v>1800</v>
      </c>
      <c r="F44">
        <v>40</v>
      </c>
      <c r="G44">
        <f t="shared" si="1"/>
        <v>1760</v>
      </c>
      <c r="H44" s="1">
        <f t="shared" si="2"/>
        <v>2.2222222222222223E-2</v>
      </c>
    </row>
    <row r="45" spans="1:8">
      <c r="A45" s="2">
        <v>45696</v>
      </c>
      <c r="B45">
        <v>1</v>
      </c>
      <c r="C45">
        <v>500</v>
      </c>
      <c r="D45">
        <v>500</v>
      </c>
      <c r="E45">
        <f t="shared" si="0"/>
        <v>1000</v>
      </c>
      <c r="F45">
        <v>40</v>
      </c>
      <c r="G45">
        <f t="shared" si="1"/>
        <v>960</v>
      </c>
      <c r="H45" s="1">
        <f t="shared" si="2"/>
        <v>0.04</v>
      </c>
    </row>
    <row r="46" spans="1:8">
      <c r="B46" s="3">
        <v>2</v>
      </c>
      <c r="C46">
        <v>500</v>
      </c>
      <c r="D46">
        <v>500</v>
      </c>
      <c r="E46">
        <f t="shared" si="0"/>
        <v>1000</v>
      </c>
      <c r="F46">
        <v>30</v>
      </c>
      <c r="G46">
        <f t="shared" si="1"/>
        <v>970</v>
      </c>
      <c r="H46" s="1">
        <f t="shared" si="2"/>
        <v>0.03</v>
      </c>
    </row>
    <row r="47" spans="1:8">
      <c r="B47">
        <v>3</v>
      </c>
      <c r="C47">
        <v>500</v>
      </c>
      <c r="D47">
        <v>500</v>
      </c>
      <c r="E47">
        <f t="shared" si="0"/>
        <v>1000</v>
      </c>
      <c r="F47">
        <v>40</v>
      </c>
      <c r="G47">
        <f t="shared" si="1"/>
        <v>960</v>
      </c>
      <c r="H47" s="1">
        <f t="shared" si="2"/>
        <v>0.04</v>
      </c>
    </row>
    <row r="48" spans="1:8">
      <c r="B48" s="3">
        <v>4</v>
      </c>
      <c r="C48">
        <v>600</v>
      </c>
      <c r="D48">
        <v>600</v>
      </c>
      <c r="E48">
        <f t="shared" si="0"/>
        <v>1200</v>
      </c>
      <c r="F48">
        <v>170</v>
      </c>
      <c r="G48">
        <f t="shared" si="1"/>
        <v>1030</v>
      </c>
      <c r="H48" s="1">
        <f t="shared" si="2"/>
        <v>0.14166666666666666</v>
      </c>
    </row>
    <row r="49" spans="1:8">
      <c r="B49" s="3">
        <v>5</v>
      </c>
      <c r="C49">
        <v>500</v>
      </c>
      <c r="D49">
        <v>500</v>
      </c>
      <c r="E49">
        <f t="shared" si="0"/>
        <v>1000</v>
      </c>
      <c r="F49">
        <v>40</v>
      </c>
      <c r="G49">
        <f t="shared" si="1"/>
        <v>960</v>
      </c>
      <c r="H49" s="1">
        <f t="shared" si="2"/>
        <v>0.04</v>
      </c>
    </row>
    <row r="50" spans="1:8">
      <c r="B50">
        <v>6</v>
      </c>
      <c r="C50">
        <v>900</v>
      </c>
      <c r="D50">
        <v>900</v>
      </c>
      <c r="E50">
        <f t="shared" si="0"/>
        <v>1800</v>
      </c>
      <c r="F50">
        <v>75</v>
      </c>
      <c r="G50">
        <f t="shared" si="1"/>
        <v>1725</v>
      </c>
      <c r="H50" s="1">
        <f t="shared" si="2"/>
        <v>4.1666666666666664E-2</v>
      </c>
    </row>
    <row r="51" spans="1:8">
      <c r="A51" s="2">
        <v>45697</v>
      </c>
      <c r="B51">
        <v>1</v>
      </c>
      <c r="C51">
        <v>620</v>
      </c>
      <c r="D51">
        <v>620</v>
      </c>
      <c r="E51">
        <f t="shared" si="0"/>
        <v>1240</v>
      </c>
      <c r="F51">
        <v>20</v>
      </c>
      <c r="G51">
        <f t="shared" si="1"/>
        <v>1220</v>
      </c>
      <c r="H51" s="1">
        <f t="shared" si="2"/>
        <v>1.6129032258064516E-2</v>
      </c>
    </row>
    <row r="52" spans="1:8">
      <c r="B52" s="3">
        <v>2</v>
      </c>
      <c r="C52">
        <v>600</v>
      </c>
      <c r="D52">
        <v>600</v>
      </c>
      <c r="E52">
        <f t="shared" si="0"/>
        <v>1200</v>
      </c>
      <c r="F52">
        <v>35</v>
      </c>
      <c r="G52">
        <f t="shared" si="1"/>
        <v>1165</v>
      </c>
      <c r="H52" s="1">
        <f t="shared" si="2"/>
        <v>2.9166666666666667E-2</v>
      </c>
    </row>
    <row r="53" spans="1:8">
      <c r="B53">
        <v>3</v>
      </c>
      <c r="C53">
        <v>540</v>
      </c>
      <c r="D53">
        <v>540</v>
      </c>
      <c r="E53">
        <f t="shared" si="0"/>
        <v>1080</v>
      </c>
      <c r="F53">
        <v>0</v>
      </c>
      <c r="G53">
        <f t="shared" si="1"/>
        <v>1080</v>
      </c>
      <c r="H53" s="1">
        <f t="shared" si="2"/>
        <v>0</v>
      </c>
    </row>
    <row r="54" spans="1:8">
      <c r="B54" s="3">
        <v>4</v>
      </c>
      <c r="C54">
        <v>500</v>
      </c>
      <c r="D54">
        <v>500</v>
      </c>
      <c r="E54">
        <f t="shared" si="0"/>
        <v>1000</v>
      </c>
      <c r="F54">
        <v>110</v>
      </c>
      <c r="G54">
        <f t="shared" si="1"/>
        <v>890</v>
      </c>
      <c r="H54" s="1">
        <f t="shared" si="2"/>
        <v>0.11</v>
      </c>
    </row>
    <row r="55" spans="1:8">
      <c r="B55" s="3">
        <v>5</v>
      </c>
      <c r="C55">
        <v>500</v>
      </c>
      <c r="D55">
        <v>500</v>
      </c>
      <c r="E55">
        <f t="shared" si="0"/>
        <v>1000</v>
      </c>
      <c r="F55">
        <v>35</v>
      </c>
      <c r="G55">
        <f t="shared" si="1"/>
        <v>965</v>
      </c>
      <c r="H55" s="1">
        <f t="shared" si="2"/>
        <v>3.5000000000000003E-2</v>
      </c>
    </row>
    <row r="56" spans="1:8">
      <c r="B56">
        <v>6</v>
      </c>
      <c r="C56">
        <v>780</v>
      </c>
      <c r="D56">
        <v>700</v>
      </c>
      <c r="E56">
        <f t="shared" si="0"/>
        <v>1480</v>
      </c>
      <c r="F56">
        <v>20</v>
      </c>
      <c r="G56">
        <f t="shared" si="1"/>
        <v>1460</v>
      </c>
      <c r="H56" s="1">
        <f t="shared" si="2"/>
        <v>1.3513513513513514E-2</v>
      </c>
    </row>
    <row r="57" spans="1:8">
      <c r="A57" s="2">
        <v>45698</v>
      </c>
      <c r="B57">
        <v>1</v>
      </c>
      <c r="C57">
        <v>550</v>
      </c>
      <c r="D57">
        <v>550</v>
      </c>
      <c r="E57">
        <f t="shared" si="0"/>
        <v>1100</v>
      </c>
      <c r="F57">
        <v>200</v>
      </c>
      <c r="G57">
        <f t="shared" si="1"/>
        <v>900</v>
      </c>
      <c r="H57" s="1">
        <f t="shared" si="2"/>
        <v>0.18181818181818182</v>
      </c>
    </row>
    <row r="58" spans="1:8">
      <c r="B58" s="3">
        <v>2</v>
      </c>
      <c r="C58">
        <v>550</v>
      </c>
      <c r="D58">
        <v>550</v>
      </c>
      <c r="E58">
        <f t="shared" si="0"/>
        <v>1100</v>
      </c>
      <c r="F58">
        <v>5</v>
      </c>
      <c r="G58">
        <f t="shared" si="1"/>
        <v>1095</v>
      </c>
      <c r="H58" s="1">
        <f t="shared" si="2"/>
        <v>4.5454545454545452E-3</v>
      </c>
    </row>
    <row r="59" spans="1:8">
      <c r="B59">
        <v>3</v>
      </c>
      <c r="C59">
        <v>550</v>
      </c>
      <c r="D59">
        <v>550</v>
      </c>
      <c r="E59">
        <f t="shared" si="0"/>
        <v>1100</v>
      </c>
      <c r="F59">
        <v>220</v>
      </c>
      <c r="G59">
        <f t="shared" si="1"/>
        <v>880</v>
      </c>
      <c r="H59" s="1">
        <f t="shared" si="2"/>
        <v>0.2</v>
      </c>
    </row>
    <row r="60" spans="1:8">
      <c r="B60" s="3">
        <v>4</v>
      </c>
      <c r="C60">
        <v>600</v>
      </c>
      <c r="D60">
        <v>600</v>
      </c>
      <c r="E60">
        <f t="shared" si="0"/>
        <v>1200</v>
      </c>
      <c r="F60">
        <v>0</v>
      </c>
      <c r="G60">
        <f t="shared" si="1"/>
        <v>1200</v>
      </c>
      <c r="H60" s="1">
        <f t="shared" si="2"/>
        <v>0</v>
      </c>
    </row>
    <row r="61" spans="1:8">
      <c r="B61" s="3">
        <v>5</v>
      </c>
      <c r="C61">
        <v>500</v>
      </c>
      <c r="D61">
        <v>500</v>
      </c>
      <c r="E61">
        <f t="shared" si="0"/>
        <v>1000</v>
      </c>
      <c r="F61">
        <v>130</v>
      </c>
      <c r="G61">
        <f t="shared" si="1"/>
        <v>870</v>
      </c>
      <c r="H61" s="1">
        <f t="shared" si="2"/>
        <v>0.13</v>
      </c>
    </row>
    <row r="62" spans="1:8">
      <c r="B62">
        <v>6</v>
      </c>
      <c r="C62">
        <v>900</v>
      </c>
      <c r="D62">
        <v>1200</v>
      </c>
      <c r="E62">
        <f t="shared" si="0"/>
        <v>2100</v>
      </c>
      <c r="F62">
        <v>0</v>
      </c>
      <c r="G62">
        <f t="shared" si="1"/>
        <v>2100</v>
      </c>
      <c r="H62" s="1">
        <f t="shared" si="2"/>
        <v>0</v>
      </c>
    </row>
    <row r="63" spans="1:8">
      <c r="A63" s="2">
        <v>45699</v>
      </c>
      <c r="B63">
        <v>1</v>
      </c>
      <c r="C63">
        <v>500</v>
      </c>
      <c r="D63">
        <v>500</v>
      </c>
      <c r="E63">
        <f t="shared" si="0"/>
        <v>1000</v>
      </c>
      <c r="F63">
        <v>325</v>
      </c>
      <c r="G63">
        <f t="shared" si="1"/>
        <v>675</v>
      </c>
      <c r="H63" s="1">
        <f t="shared" si="2"/>
        <v>0.32500000000000001</v>
      </c>
    </row>
    <row r="64" spans="1:8">
      <c r="B64" s="3">
        <v>2</v>
      </c>
      <c r="C64">
        <v>600</v>
      </c>
      <c r="D64">
        <v>600</v>
      </c>
      <c r="E64">
        <f t="shared" si="0"/>
        <v>1200</v>
      </c>
      <c r="F64">
        <v>0</v>
      </c>
      <c r="G64">
        <f t="shared" si="1"/>
        <v>1200</v>
      </c>
      <c r="H64" s="1">
        <f t="shared" si="2"/>
        <v>0</v>
      </c>
    </row>
    <row r="65" spans="1:8">
      <c r="B65">
        <v>3</v>
      </c>
      <c r="C65">
        <v>500</v>
      </c>
      <c r="D65">
        <v>500</v>
      </c>
      <c r="E65">
        <f t="shared" si="0"/>
        <v>1000</v>
      </c>
      <c r="F65">
        <v>305</v>
      </c>
      <c r="G65">
        <f t="shared" si="1"/>
        <v>695</v>
      </c>
      <c r="H65" s="1">
        <f t="shared" si="2"/>
        <v>0.30499999999999999</v>
      </c>
    </row>
    <row r="66" spans="1:8">
      <c r="B66" s="3">
        <v>4</v>
      </c>
      <c r="C66">
        <v>650</v>
      </c>
      <c r="D66">
        <v>600</v>
      </c>
      <c r="E66">
        <f t="shared" si="0"/>
        <v>1250</v>
      </c>
      <c r="F66">
        <v>0</v>
      </c>
      <c r="G66">
        <f t="shared" si="1"/>
        <v>1250</v>
      </c>
      <c r="H66" s="1">
        <f t="shared" si="2"/>
        <v>0</v>
      </c>
    </row>
    <row r="67" spans="1:8">
      <c r="B67" s="3">
        <v>5</v>
      </c>
      <c r="C67">
        <v>400</v>
      </c>
      <c r="D67">
        <v>400</v>
      </c>
      <c r="E67">
        <f t="shared" si="0"/>
        <v>800</v>
      </c>
      <c r="F67">
        <v>0</v>
      </c>
      <c r="G67">
        <f t="shared" si="1"/>
        <v>800</v>
      </c>
      <c r="H67" s="1">
        <f t="shared" si="2"/>
        <v>0</v>
      </c>
    </row>
    <row r="68" spans="1:8">
      <c r="B68">
        <v>6</v>
      </c>
      <c r="C68">
        <v>900</v>
      </c>
      <c r="D68">
        <v>800</v>
      </c>
      <c r="E68">
        <f t="shared" si="0"/>
        <v>1700</v>
      </c>
      <c r="F68">
        <v>25</v>
      </c>
      <c r="G68">
        <f t="shared" si="1"/>
        <v>1675</v>
      </c>
      <c r="H68" s="1">
        <f t="shared" si="2"/>
        <v>1.4705882352941176E-2</v>
      </c>
    </row>
    <row r="69" spans="1:8">
      <c r="A69" s="2">
        <v>45700</v>
      </c>
      <c r="B69">
        <v>1</v>
      </c>
      <c r="C69">
        <v>620</v>
      </c>
      <c r="D69">
        <v>620</v>
      </c>
      <c r="E69">
        <f t="shared" si="0"/>
        <v>1240</v>
      </c>
      <c r="F69">
        <v>190</v>
      </c>
      <c r="G69">
        <f t="shared" si="1"/>
        <v>1050</v>
      </c>
      <c r="H69" s="1">
        <f t="shared" si="2"/>
        <v>0.15322580645161291</v>
      </c>
    </row>
    <row r="70" spans="1:8">
      <c r="B70" s="3">
        <v>2</v>
      </c>
      <c r="C70">
        <v>735</v>
      </c>
      <c r="D70">
        <v>700</v>
      </c>
      <c r="E70">
        <f t="shared" si="0"/>
        <v>1435</v>
      </c>
      <c r="F70">
        <v>0</v>
      </c>
      <c r="G70">
        <f t="shared" si="1"/>
        <v>1435</v>
      </c>
      <c r="H70" s="1">
        <f t="shared" si="2"/>
        <v>0</v>
      </c>
    </row>
    <row r="71" spans="1:8">
      <c r="B71">
        <v>3</v>
      </c>
      <c r="C71">
        <v>460</v>
      </c>
      <c r="D71">
        <v>460</v>
      </c>
      <c r="E71">
        <f t="shared" si="0"/>
        <v>920</v>
      </c>
      <c r="F71">
        <v>55</v>
      </c>
      <c r="G71">
        <f t="shared" si="1"/>
        <v>865</v>
      </c>
      <c r="H71" s="1">
        <f t="shared" si="2"/>
        <v>5.9782608695652176E-2</v>
      </c>
    </row>
    <row r="72" spans="1:8">
      <c r="B72" s="3">
        <v>4</v>
      </c>
      <c r="C72">
        <v>750</v>
      </c>
      <c r="D72">
        <v>650</v>
      </c>
      <c r="E72">
        <f t="shared" si="0"/>
        <v>1400</v>
      </c>
      <c r="F72">
        <v>0</v>
      </c>
      <c r="G72">
        <f t="shared" si="1"/>
        <v>1400</v>
      </c>
      <c r="H72" s="1">
        <f t="shared" si="2"/>
        <v>0</v>
      </c>
    </row>
    <row r="73" spans="1:8">
      <c r="B73" s="3">
        <v>5</v>
      </c>
      <c r="C73">
        <v>500</v>
      </c>
      <c r="D73">
        <v>500</v>
      </c>
      <c r="E73">
        <f t="shared" si="0"/>
        <v>1000</v>
      </c>
      <c r="F73">
        <v>140</v>
      </c>
      <c r="G73">
        <f t="shared" si="1"/>
        <v>860</v>
      </c>
      <c r="H73" s="1">
        <f t="shared" si="2"/>
        <v>0.14000000000000001</v>
      </c>
    </row>
    <row r="74" spans="1:8">
      <c r="B74">
        <v>6</v>
      </c>
      <c r="C74">
        <v>1050</v>
      </c>
      <c r="D74">
        <v>1050</v>
      </c>
      <c r="E74">
        <f t="shared" si="0"/>
        <v>2100</v>
      </c>
      <c r="F74">
        <v>285</v>
      </c>
      <c r="G74">
        <f t="shared" si="1"/>
        <v>1815</v>
      </c>
      <c r="H74" s="1">
        <f t="shared" si="2"/>
        <v>0.1357142857142857</v>
      </c>
    </row>
    <row r="75" spans="1:8">
      <c r="A75" s="2">
        <v>45701</v>
      </c>
      <c r="B75">
        <v>1</v>
      </c>
      <c r="C75">
        <v>600</v>
      </c>
      <c r="D75">
        <v>550</v>
      </c>
      <c r="E75">
        <f t="shared" si="0"/>
        <v>1150</v>
      </c>
      <c r="F75">
        <v>205</v>
      </c>
      <c r="G75">
        <f t="shared" si="1"/>
        <v>945</v>
      </c>
      <c r="H75" s="1">
        <f t="shared" si="2"/>
        <v>0.17826086956521739</v>
      </c>
    </row>
    <row r="76" spans="1:8">
      <c r="B76" s="3">
        <v>2</v>
      </c>
      <c r="C76">
        <v>750</v>
      </c>
      <c r="D76">
        <v>750</v>
      </c>
      <c r="E76">
        <f t="shared" si="0"/>
        <v>1500</v>
      </c>
      <c r="F76">
        <v>180</v>
      </c>
      <c r="G76">
        <f t="shared" si="1"/>
        <v>1320</v>
      </c>
      <c r="H76" s="1">
        <f t="shared" si="2"/>
        <v>0.12</v>
      </c>
    </row>
    <row r="77" spans="1:8">
      <c r="B77">
        <v>3</v>
      </c>
      <c r="C77">
        <v>450</v>
      </c>
      <c r="D77">
        <v>450</v>
      </c>
      <c r="E77">
        <f t="shared" si="0"/>
        <v>900</v>
      </c>
      <c r="F77">
        <v>220</v>
      </c>
      <c r="G77">
        <f t="shared" si="1"/>
        <v>680</v>
      </c>
      <c r="H77" s="1">
        <f t="shared" si="2"/>
        <v>0.24444444444444444</v>
      </c>
    </row>
    <row r="78" spans="1:8">
      <c r="B78" s="3">
        <v>4</v>
      </c>
      <c r="C78">
        <v>750</v>
      </c>
      <c r="D78">
        <v>930</v>
      </c>
      <c r="E78">
        <f t="shared" si="0"/>
        <v>1680</v>
      </c>
      <c r="F78">
        <v>80</v>
      </c>
      <c r="G78">
        <f t="shared" si="1"/>
        <v>1600</v>
      </c>
      <c r="H78" s="1">
        <f t="shared" si="2"/>
        <v>4.7619047619047616E-2</v>
      </c>
    </row>
    <row r="79" spans="1:8">
      <c r="B79" s="3">
        <v>5</v>
      </c>
      <c r="C79">
        <v>500</v>
      </c>
      <c r="D79">
        <v>500</v>
      </c>
      <c r="E79">
        <f t="shared" si="0"/>
        <v>1000</v>
      </c>
      <c r="F79">
        <v>185</v>
      </c>
      <c r="G79">
        <f t="shared" si="1"/>
        <v>815</v>
      </c>
      <c r="H79" s="1">
        <f t="shared" si="2"/>
        <v>0.185</v>
      </c>
    </row>
    <row r="80" spans="1:8">
      <c r="B80">
        <v>6</v>
      </c>
      <c r="C80">
        <v>1000</v>
      </c>
      <c r="D80">
        <v>900</v>
      </c>
      <c r="E80">
        <f t="shared" si="0"/>
        <v>1900</v>
      </c>
      <c r="F80">
        <v>255</v>
      </c>
      <c r="G80">
        <f t="shared" si="1"/>
        <v>1645</v>
      </c>
      <c r="H80" s="1">
        <f t="shared" si="2"/>
        <v>0.13421052631578947</v>
      </c>
    </row>
    <row r="81" spans="1:8">
      <c r="A81" s="2">
        <v>45791</v>
      </c>
      <c r="B81">
        <v>1</v>
      </c>
      <c r="C81">
        <v>500</v>
      </c>
      <c r="D81">
        <v>500</v>
      </c>
      <c r="E81">
        <f t="shared" si="0"/>
        <v>1000</v>
      </c>
      <c r="F81">
        <v>65</v>
      </c>
      <c r="G81">
        <f t="shared" si="1"/>
        <v>935</v>
      </c>
      <c r="H81" s="1">
        <f t="shared" si="2"/>
        <v>6.5000000000000002E-2</v>
      </c>
    </row>
    <row r="82" spans="1:8">
      <c r="B82" s="3">
        <v>2</v>
      </c>
      <c r="C82">
        <v>650</v>
      </c>
      <c r="D82">
        <v>600</v>
      </c>
      <c r="E82">
        <f t="shared" si="0"/>
        <v>1250</v>
      </c>
      <c r="F82">
        <v>20</v>
      </c>
      <c r="G82">
        <f t="shared" si="1"/>
        <v>1230</v>
      </c>
      <c r="H82" s="1">
        <f t="shared" si="2"/>
        <v>1.6E-2</v>
      </c>
    </row>
    <row r="83" spans="1:8">
      <c r="B83">
        <v>3</v>
      </c>
      <c r="C83">
        <v>400</v>
      </c>
      <c r="D83">
        <v>400</v>
      </c>
      <c r="E83">
        <f t="shared" si="0"/>
        <v>800</v>
      </c>
      <c r="F83">
        <v>80</v>
      </c>
      <c r="G83">
        <f t="shared" si="1"/>
        <v>720</v>
      </c>
      <c r="H83" s="1">
        <f t="shared" si="2"/>
        <v>0.1</v>
      </c>
    </row>
    <row r="84" spans="1:8">
      <c r="B84" s="3">
        <v>4</v>
      </c>
      <c r="C84">
        <v>800</v>
      </c>
      <c r="D84">
        <v>600</v>
      </c>
      <c r="E84">
        <f t="shared" si="0"/>
        <v>1400</v>
      </c>
      <c r="F84">
        <v>45</v>
      </c>
      <c r="G84">
        <f t="shared" si="1"/>
        <v>1355</v>
      </c>
      <c r="H84" s="1">
        <f t="shared" si="2"/>
        <v>3.214285714285714E-2</v>
      </c>
    </row>
    <row r="85" spans="1:8">
      <c r="B85" s="3">
        <v>5</v>
      </c>
      <c r="C85">
        <v>500</v>
      </c>
      <c r="D85">
        <v>500</v>
      </c>
      <c r="E85">
        <f t="shared" si="0"/>
        <v>1000</v>
      </c>
      <c r="F85">
        <v>255</v>
      </c>
      <c r="G85">
        <f t="shared" si="1"/>
        <v>745</v>
      </c>
      <c r="H85" s="1">
        <f t="shared" si="2"/>
        <v>0.255</v>
      </c>
    </row>
    <row r="86" spans="1:8">
      <c r="B86">
        <v>6</v>
      </c>
      <c r="C86">
        <v>900</v>
      </c>
      <c r="D86">
        <v>900</v>
      </c>
      <c r="E86">
        <f t="shared" si="0"/>
        <v>1800</v>
      </c>
      <c r="F86">
        <v>70</v>
      </c>
      <c r="G86">
        <f t="shared" si="1"/>
        <v>1730</v>
      </c>
      <c r="H86" s="1">
        <f t="shared" si="2"/>
        <v>3.888888888888889E-2</v>
      </c>
    </row>
    <row r="87" spans="1:8">
      <c r="A87" s="2">
        <v>45703</v>
      </c>
      <c r="B87">
        <v>1</v>
      </c>
      <c r="C87">
        <v>600</v>
      </c>
      <c r="D87">
        <v>500</v>
      </c>
      <c r="E87">
        <f t="shared" si="0"/>
        <v>1100</v>
      </c>
      <c r="F87">
        <v>65</v>
      </c>
      <c r="G87">
        <f t="shared" si="1"/>
        <v>1035</v>
      </c>
      <c r="H87" s="1">
        <f t="shared" si="2"/>
        <v>5.909090909090909E-2</v>
      </c>
    </row>
    <row r="88" spans="1:8">
      <c r="B88" s="3">
        <v>2</v>
      </c>
      <c r="C88">
        <v>600</v>
      </c>
      <c r="D88">
        <v>650</v>
      </c>
      <c r="E88">
        <f t="shared" si="0"/>
        <v>1250</v>
      </c>
      <c r="F88">
        <v>25</v>
      </c>
      <c r="G88">
        <f t="shared" si="1"/>
        <v>1225</v>
      </c>
      <c r="H88" s="1">
        <f t="shared" si="2"/>
        <v>0.02</v>
      </c>
    </row>
    <row r="89" spans="1:8">
      <c r="B89">
        <v>3</v>
      </c>
      <c r="C89">
        <v>600</v>
      </c>
      <c r="D89">
        <v>450</v>
      </c>
      <c r="E89">
        <f t="shared" si="0"/>
        <v>1050</v>
      </c>
      <c r="F89">
        <v>50</v>
      </c>
      <c r="G89">
        <f t="shared" si="1"/>
        <v>1000</v>
      </c>
      <c r="H89" s="1">
        <f t="shared" ref="H89:H126" si="3">$F89/E89</f>
        <v>4.7619047619047616E-2</v>
      </c>
    </row>
    <row r="90" spans="1:8">
      <c r="B90" s="3">
        <v>4</v>
      </c>
      <c r="C90">
        <v>700</v>
      </c>
      <c r="D90">
        <v>600</v>
      </c>
      <c r="E90">
        <f t="shared" si="0"/>
        <v>1300</v>
      </c>
      <c r="F90">
        <v>15</v>
      </c>
      <c r="G90">
        <f t="shared" si="1"/>
        <v>1285</v>
      </c>
      <c r="H90" s="1">
        <f t="shared" si="3"/>
        <v>1.1538461538461539E-2</v>
      </c>
    </row>
    <row r="91" spans="1:8">
      <c r="B91" s="3">
        <v>5</v>
      </c>
      <c r="C91">
        <v>350</v>
      </c>
      <c r="D91">
        <v>350</v>
      </c>
      <c r="E91">
        <f t="shared" si="0"/>
        <v>700</v>
      </c>
      <c r="F91">
        <v>0</v>
      </c>
      <c r="G91">
        <f t="shared" si="1"/>
        <v>700</v>
      </c>
      <c r="H91" s="1">
        <f t="shared" si="3"/>
        <v>0</v>
      </c>
    </row>
    <row r="92" spans="1:8">
      <c r="B92">
        <v>6</v>
      </c>
      <c r="C92">
        <v>850</v>
      </c>
      <c r="D92">
        <v>850</v>
      </c>
      <c r="E92">
        <f t="shared" si="0"/>
        <v>1700</v>
      </c>
      <c r="F92">
        <v>20</v>
      </c>
      <c r="G92">
        <f t="shared" si="1"/>
        <v>1680</v>
      </c>
      <c r="H92" s="1">
        <f t="shared" si="3"/>
        <v>1.1764705882352941E-2</v>
      </c>
    </row>
    <row r="93" spans="1:8">
      <c r="A93" s="2">
        <v>45704</v>
      </c>
      <c r="B93">
        <v>1</v>
      </c>
      <c r="C93">
        <v>450</v>
      </c>
      <c r="D93">
        <v>600</v>
      </c>
      <c r="E93">
        <f t="shared" si="0"/>
        <v>1050</v>
      </c>
      <c r="F93">
        <v>210</v>
      </c>
      <c r="G93">
        <f t="shared" si="1"/>
        <v>840</v>
      </c>
      <c r="H93" s="1">
        <f t="shared" si="3"/>
        <v>0.2</v>
      </c>
    </row>
    <row r="94" spans="1:8">
      <c r="B94" s="3">
        <v>2</v>
      </c>
      <c r="C94">
        <v>650</v>
      </c>
      <c r="D94">
        <v>650</v>
      </c>
      <c r="E94">
        <f t="shared" si="0"/>
        <v>1300</v>
      </c>
      <c r="F94">
        <v>15</v>
      </c>
      <c r="G94">
        <f t="shared" si="1"/>
        <v>1285</v>
      </c>
      <c r="H94" s="1">
        <f t="shared" si="3"/>
        <v>1.1538461538461539E-2</v>
      </c>
    </row>
    <row r="95" spans="1:8">
      <c r="B95">
        <v>3</v>
      </c>
      <c r="C95">
        <v>450</v>
      </c>
      <c r="D95">
        <v>500</v>
      </c>
      <c r="E95">
        <f t="shared" si="0"/>
        <v>950</v>
      </c>
      <c r="F95">
        <v>65</v>
      </c>
      <c r="G95">
        <f t="shared" si="1"/>
        <v>885</v>
      </c>
      <c r="H95" s="1">
        <f t="shared" si="3"/>
        <v>6.8421052631578952E-2</v>
      </c>
    </row>
    <row r="96" spans="1:8">
      <c r="B96" s="3">
        <v>4</v>
      </c>
      <c r="C96">
        <v>700</v>
      </c>
      <c r="D96">
        <v>750</v>
      </c>
      <c r="E96">
        <f t="shared" si="0"/>
        <v>1450</v>
      </c>
      <c r="F96">
        <v>20</v>
      </c>
      <c r="G96">
        <f t="shared" si="1"/>
        <v>1430</v>
      </c>
      <c r="H96" s="1">
        <f t="shared" si="3"/>
        <v>1.3793103448275862E-2</v>
      </c>
    </row>
    <row r="97" spans="1:8">
      <c r="B97" s="3">
        <v>5</v>
      </c>
      <c r="C97">
        <v>350</v>
      </c>
      <c r="D97">
        <v>400</v>
      </c>
      <c r="E97">
        <f t="shared" si="0"/>
        <v>750</v>
      </c>
      <c r="F97">
        <v>15</v>
      </c>
      <c r="G97">
        <f t="shared" si="1"/>
        <v>735</v>
      </c>
      <c r="H97" s="1">
        <f t="shared" si="3"/>
        <v>0.02</v>
      </c>
    </row>
    <row r="98" spans="1:8">
      <c r="B98">
        <v>6</v>
      </c>
      <c r="C98">
        <v>900</v>
      </c>
      <c r="D98">
        <v>900</v>
      </c>
      <c r="E98">
        <f t="shared" si="0"/>
        <v>1800</v>
      </c>
      <c r="F98">
        <v>80</v>
      </c>
      <c r="G98">
        <f t="shared" si="1"/>
        <v>1720</v>
      </c>
      <c r="H98" s="1">
        <f t="shared" si="3"/>
        <v>4.4444444444444446E-2</v>
      </c>
    </row>
    <row r="99" spans="1:8">
      <c r="A99" s="2">
        <v>45705</v>
      </c>
      <c r="B99">
        <v>1</v>
      </c>
      <c r="C99">
        <v>450</v>
      </c>
      <c r="D99">
        <v>650</v>
      </c>
      <c r="E99">
        <f t="shared" si="0"/>
        <v>1100</v>
      </c>
      <c r="F99">
        <v>25</v>
      </c>
      <c r="G99">
        <f t="shared" si="1"/>
        <v>1075</v>
      </c>
      <c r="H99" s="1">
        <f t="shared" si="3"/>
        <v>2.2727272727272728E-2</v>
      </c>
    </row>
    <row r="100" spans="1:8">
      <c r="B100" s="3">
        <v>2</v>
      </c>
      <c r="C100">
        <v>600</v>
      </c>
      <c r="D100">
        <v>750</v>
      </c>
      <c r="E100">
        <f t="shared" si="0"/>
        <v>1350</v>
      </c>
      <c r="F100">
        <v>0</v>
      </c>
      <c r="G100">
        <f t="shared" si="1"/>
        <v>1350</v>
      </c>
      <c r="H100" s="1">
        <f t="shared" si="3"/>
        <v>0</v>
      </c>
    </row>
    <row r="101" spans="1:8">
      <c r="B101">
        <v>3</v>
      </c>
      <c r="C101">
        <v>400</v>
      </c>
      <c r="D101">
        <v>550</v>
      </c>
      <c r="E101">
        <f t="shared" si="0"/>
        <v>950</v>
      </c>
      <c r="F101">
        <v>100</v>
      </c>
      <c r="G101">
        <f t="shared" si="1"/>
        <v>850</v>
      </c>
      <c r="H101" s="1">
        <f t="shared" si="3"/>
        <v>0.10526315789473684</v>
      </c>
    </row>
    <row r="102" spans="1:8">
      <c r="B102" s="3">
        <v>4</v>
      </c>
      <c r="C102">
        <v>600</v>
      </c>
      <c r="D102">
        <v>750</v>
      </c>
      <c r="E102">
        <f t="shared" si="0"/>
        <v>1350</v>
      </c>
      <c r="F102">
        <v>0</v>
      </c>
      <c r="G102">
        <f t="shared" si="1"/>
        <v>1350</v>
      </c>
      <c r="H102" s="1">
        <f t="shared" si="3"/>
        <v>0</v>
      </c>
    </row>
    <row r="103" spans="1:8">
      <c r="B103" s="3">
        <v>5</v>
      </c>
      <c r="C103">
        <v>400</v>
      </c>
      <c r="D103">
        <v>400</v>
      </c>
      <c r="E103">
        <f t="shared" si="0"/>
        <v>800</v>
      </c>
      <c r="F103">
        <v>75</v>
      </c>
      <c r="G103">
        <f t="shared" si="1"/>
        <v>725</v>
      </c>
      <c r="H103" s="1">
        <f t="shared" si="3"/>
        <v>9.375E-2</v>
      </c>
    </row>
    <row r="104" spans="1:8">
      <c r="B104">
        <v>6</v>
      </c>
      <c r="C104">
        <v>900</v>
      </c>
      <c r="D104">
        <v>1100</v>
      </c>
      <c r="E104">
        <f t="shared" si="0"/>
        <v>2000</v>
      </c>
      <c r="F104">
        <v>0</v>
      </c>
      <c r="G104">
        <f t="shared" si="1"/>
        <v>2000</v>
      </c>
      <c r="H104" s="1">
        <f t="shared" si="3"/>
        <v>0</v>
      </c>
    </row>
    <row r="105" spans="1:8">
      <c r="A105" s="2">
        <v>45706</v>
      </c>
      <c r="B105">
        <v>1</v>
      </c>
      <c r="C105">
        <v>600</v>
      </c>
      <c r="D105">
        <v>600</v>
      </c>
      <c r="E105">
        <f t="shared" si="0"/>
        <v>1200</v>
      </c>
      <c r="F105">
        <v>110</v>
      </c>
      <c r="G105">
        <f t="shared" si="1"/>
        <v>1090</v>
      </c>
      <c r="H105" s="1">
        <f t="shared" si="3"/>
        <v>9.166666666666666E-2</v>
      </c>
    </row>
    <row r="106" spans="1:8">
      <c r="B106" s="3">
        <v>2</v>
      </c>
      <c r="C106">
        <v>600</v>
      </c>
      <c r="D106">
        <v>600</v>
      </c>
      <c r="E106">
        <f t="shared" si="0"/>
        <v>1200</v>
      </c>
      <c r="F106">
        <v>55</v>
      </c>
      <c r="G106">
        <f t="shared" si="1"/>
        <v>1145</v>
      </c>
      <c r="H106" s="1">
        <f t="shared" si="3"/>
        <v>4.583333333333333E-2</v>
      </c>
    </row>
    <row r="107" spans="1:8">
      <c r="B107">
        <v>3</v>
      </c>
      <c r="C107">
        <v>500</v>
      </c>
      <c r="D107">
        <v>500</v>
      </c>
      <c r="E107">
        <f t="shared" si="0"/>
        <v>1000</v>
      </c>
      <c r="F107">
        <v>115</v>
      </c>
      <c r="G107">
        <f t="shared" si="1"/>
        <v>885</v>
      </c>
      <c r="H107" s="1">
        <f t="shared" si="3"/>
        <v>0.115</v>
      </c>
    </row>
    <row r="108" spans="1:8">
      <c r="B108" s="3">
        <v>4</v>
      </c>
      <c r="C108">
        <v>600</v>
      </c>
      <c r="D108">
        <v>750</v>
      </c>
      <c r="E108">
        <f t="shared" si="0"/>
        <v>1350</v>
      </c>
      <c r="F108">
        <v>20</v>
      </c>
      <c r="G108">
        <f t="shared" si="1"/>
        <v>1330</v>
      </c>
      <c r="H108" s="1">
        <f t="shared" si="3"/>
        <v>1.4814814814814815E-2</v>
      </c>
    </row>
    <row r="109" spans="1:8">
      <c r="B109" s="3">
        <v>5</v>
      </c>
      <c r="C109">
        <v>400</v>
      </c>
      <c r="D109">
        <v>400</v>
      </c>
      <c r="E109">
        <f t="shared" si="0"/>
        <v>800</v>
      </c>
      <c r="F109">
        <v>40</v>
      </c>
      <c r="G109">
        <f t="shared" si="1"/>
        <v>760</v>
      </c>
      <c r="H109" s="1">
        <f t="shared" si="3"/>
        <v>0.05</v>
      </c>
    </row>
    <row r="110" spans="1:8">
      <c r="B110">
        <v>6</v>
      </c>
      <c r="C110">
        <v>900</v>
      </c>
      <c r="D110">
        <v>900</v>
      </c>
      <c r="E110">
        <f t="shared" si="0"/>
        <v>1800</v>
      </c>
      <c r="F110">
        <v>60</v>
      </c>
      <c r="G110">
        <f t="shared" si="1"/>
        <v>1740</v>
      </c>
      <c r="H110" s="1">
        <f t="shared" si="3"/>
        <v>3.3333333333333333E-2</v>
      </c>
    </row>
    <row r="111" spans="1:8">
      <c r="A111" s="2">
        <v>45707</v>
      </c>
      <c r="B111">
        <v>1</v>
      </c>
      <c r="C111">
        <v>650</v>
      </c>
      <c r="D111">
        <v>500</v>
      </c>
      <c r="E111">
        <f t="shared" si="0"/>
        <v>1150</v>
      </c>
      <c r="F111">
        <v>105</v>
      </c>
      <c r="G111">
        <f t="shared" si="1"/>
        <v>1045</v>
      </c>
      <c r="H111" s="1">
        <f t="shared" si="3"/>
        <v>9.1304347826086957E-2</v>
      </c>
    </row>
    <row r="112" spans="1:8">
      <c r="B112" s="3">
        <v>2</v>
      </c>
      <c r="C112">
        <v>550</v>
      </c>
      <c r="D112">
        <v>650</v>
      </c>
      <c r="E112">
        <f t="shared" si="0"/>
        <v>1200</v>
      </c>
      <c r="F112">
        <v>55</v>
      </c>
      <c r="G112">
        <f t="shared" si="1"/>
        <v>1145</v>
      </c>
      <c r="H112" s="1">
        <f t="shared" si="3"/>
        <v>4.583333333333333E-2</v>
      </c>
    </row>
    <row r="113" spans="1:8">
      <c r="B113">
        <v>3</v>
      </c>
      <c r="C113">
        <v>450</v>
      </c>
      <c r="D113">
        <v>450</v>
      </c>
      <c r="E113">
        <f t="shared" si="0"/>
        <v>900</v>
      </c>
      <c r="F113">
        <v>45</v>
      </c>
      <c r="G113">
        <f t="shared" si="1"/>
        <v>855</v>
      </c>
      <c r="H113" s="1">
        <f t="shared" si="3"/>
        <v>0.05</v>
      </c>
    </row>
    <row r="114" spans="1:8">
      <c r="B114" s="3">
        <v>4</v>
      </c>
      <c r="C114">
        <v>650</v>
      </c>
      <c r="D114">
        <v>750</v>
      </c>
      <c r="E114">
        <f t="shared" si="0"/>
        <v>1400</v>
      </c>
      <c r="F114">
        <v>0</v>
      </c>
      <c r="G114">
        <f t="shared" si="1"/>
        <v>1400</v>
      </c>
      <c r="H114" s="1">
        <f t="shared" si="3"/>
        <v>0</v>
      </c>
    </row>
    <row r="115" spans="1:8">
      <c r="B115" s="3">
        <v>5</v>
      </c>
      <c r="C115">
        <v>400</v>
      </c>
      <c r="D115">
        <v>450</v>
      </c>
      <c r="E115">
        <f t="shared" si="0"/>
        <v>850</v>
      </c>
      <c r="F115">
        <v>35</v>
      </c>
      <c r="G115">
        <f t="shared" si="1"/>
        <v>815</v>
      </c>
      <c r="H115" s="1">
        <f t="shared" si="3"/>
        <v>4.1176470588235294E-2</v>
      </c>
    </row>
    <row r="116" spans="1:8">
      <c r="B116">
        <v>6</v>
      </c>
      <c r="C116">
        <v>900</v>
      </c>
      <c r="D116">
        <v>1000</v>
      </c>
      <c r="E116">
        <f t="shared" si="0"/>
        <v>1900</v>
      </c>
      <c r="F116">
        <v>40</v>
      </c>
      <c r="G116">
        <f t="shared" si="1"/>
        <v>1860</v>
      </c>
      <c r="H116" s="1">
        <f t="shared" si="3"/>
        <v>2.1052631578947368E-2</v>
      </c>
    </row>
    <row r="117" spans="1:8">
      <c r="A117" s="2">
        <v>45708</v>
      </c>
      <c r="B117">
        <v>1</v>
      </c>
      <c r="C117">
        <v>550</v>
      </c>
      <c r="D117">
        <v>500</v>
      </c>
      <c r="E117">
        <f t="shared" si="0"/>
        <v>1050</v>
      </c>
      <c r="F117">
        <v>90</v>
      </c>
      <c r="G117">
        <f t="shared" si="1"/>
        <v>960</v>
      </c>
      <c r="H117" s="1">
        <f t="shared" si="3"/>
        <v>8.5714285714285715E-2</v>
      </c>
    </row>
    <row r="118" spans="1:8">
      <c r="B118" s="3">
        <v>2</v>
      </c>
      <c r="C118">
        <v>650</v>
      </c>
      <c r="D118">
        <v>750</v>
      </c>
      <c r="E118">
        <f t="shared" si="0"/>
        <v>1400</v>
      </c>
      <c r="F118">
        <v>40</v>
      </c>
      <c r="G118">
        <f t="shared" si="1"/>
        <v>1360</v>
      </c>
      <c r="H118" s="1">
        <f t="shared" si="3"/>
        <v>2.8571428571428571E-2</v>
      </c>
    </row>
    <row r="119" spans="1:8">
      <c r="B119">
        <v>3</v>
      </c>
      <c r="C119">
        <v>450</v>
      </c>
      <c r="D119">
        <v>550</v>
      </c>
      <c r="E119">
        <f t="shared" si="0"/>
        <v>1000</v>
      </c>
      <c r="F119">
        <v>75</v>
      </c>
      <c r="G119">
        <f t="shared" si="1"/>
        <v>925</v>
      </c>
      <c r="H119" s="1">
        <f t="shared" si="3"/>
        <v>7.4999999999999997E-2</v>
      </c>
    </row>
    <row r="120" spans="1:8">
      <c r="B120" s="3">
        <v>4</v>
      </c>
      <c r="C120">
        <v>700</v>
      </c>
      <c r="D120">
        <v>700</v>
      </c>
      <c r="E120">
        <f t="shared" si="0"/>
        <v>1400</v>
      </c>
      <c r="F120">
        <v>25</v>
      </c>
      <c r="G120">
        <f t="shared" si="1"/>
        <v>1375</v>
      </c>
      <c r="H120" s="1">
        <f t="shared" si="3"/>
        <v>1.7857142857142856E-2</v>
      </c>
    </row>
    <row r="121" spans="1:8">
      <c r="B121" s="3">
        <v>5</v>
      </c>
      <c r="C121">
        <v>450</v>
      </c>
      <c r="D121">
        <v>450</v>
      </c>
      <c r="E121">
        <f t="shared" si="0"/>
        <v>900</v>
      </c>
      <c r="F121">
        <v>45</v>
      </c>
      <c r="G121">
        <f t="shared" si="1"/>
        <v>855</v>
      </c>
      <c r="H121" s="1">
        <f t="shared" si="3"/>
        <v>0.05</v>
      </c>
    </row>
    <row r="122" spans="1:8">
      <c r="B122">
        <v>6</v>
      </c>
      <c r="C122">
        <v>900</v>
      </c>
      <c r="D122">
        <v>1000</v>
      </c>
      <c r="E122">
        <f t="shared" si="0"/>
        <v>1900</v>
      </c>
      <c r="F122">
        <v>110</v>
      </c>
      <c r="G122">
        <f t="shared" si="1"/>
        <v>1790</v>
      </c>
      <c r="H122" s="1">
        <f t="shared" si="3"/>
        <v>5.7894736842105263E-2</v>
      </c>
    </row>
    <row r="123" spans="1:8">
      <c r="A123" s="2">
        <v>45709</v>
      </c>
      <c r="B123">
        <v>1</v>
      </c>
      <c r="C123">
        <v>600</v>
      </c>
      <c r="D123">
        <v>600</v>
      </c>
      <c r="E123">
        <f t="shared" si="0"/>
        <v>1200</v>
      </c>
      <c r="F123">
        <v>130</v>
      </c>
      <c r="G123">
        <f t="shared" si="1"/>
        <v>1070</v>
      </c>
      <c r="H123" s="1">
        <f t="shared" si="3"/>
        <v>0.10833333333333334</v>
      </c>
    </row>
    <row r="124" spans="1:8">
      <c r="B124" s="3">
        <v>2</v>
      </c>
      <c r="C124">
        <v>750</v>
      </c>
      <c r="D124">
        <v>750</v>
      </c>
      <c r="E124">
        <f t="shared" si="0"/>
        <v>1500</v>
      </c>
      <c r="F124">
        <v>85</v>
      </c>
      <c r="G124">
        <f t="shared" si="1"/>
        <v>1415</v>
      </c>
      <c r="H124" s="1">
        <f t="shared" si="3"/>
        <v>5.6666666666666664E-2</v>
      </c>
    </row>
    <row r="125" spans="1:8">
      <c r="B125">
        <v>3</v>
      </c>
      <c r="C125">
        <v>450</v>
      </c>
      <c r="D125">
        <v>450</v>
      </c>
      <c r="E125">
        <f t="shared" si="0"/>
        <v>900</v>
      </c>
      <c r="F125">
        <v>60</v>
      </c>
      <c r="G125">
        <f t="shared" si="1"/>
        <v>840</v>
      </c>
      <c r="H125" s="1">
        <f t="shared" si="3"/>
        <v>6.6666666666666666E-2</v>
      </c>
    </row>
    <row r="126" spans="1:8">
      <c r="B126" s="3">
        <v>4</v>
      </c>
      <c r="C126">
        <v>750</v>
      </c>
      <c r="D126">
        <v>750</v>
      </c>
      <c r="E126">
        <f t="shared" si="0"/>
        <v>1500</v>
      </c>
      <c r="F126">
        <v>90</v>
      </c>
      <c r="G126">
        <f t="shared" si="1"/>
        <v>1410</v>
      </c>
      <c r="H126" s="1">
        <f t="shared" si="3"/>
        <v>0.06</v>
      </c>
    </row>
    <row r="127" spans="1:8">
      <c r="B127" s="3">
        <v>5</v>
      </c>
      <c r="C127">
        <v>450</v>
      </c>
      <c r="D127">
        <v>450</v>
      </c>
      <c r="E127">
        <f t="shared" si="0"/>
        <v>900</v>
      </c>
      <c r="F127">
        <v>15</v>
      </c>
      <c r="G127">
        <f t="shared" si="1"/>
        <v>885</v>
      </c>
      <c r="H127" s="1">
        <f t="shared" ref="H127:H170" si="4">$F127/E127</f>
        <v>1.6666666666666666E-2</v>
      </c>
    </row>
    <row r="128" spans="1:8">
      <c r="B128">
        <v>6</v>
      </c>
      <c r="C128">
        <v>1000</v>
      </c>
      <c r="D128">
        <v>1000</v>
      </c>
      <c r="E128">
        <f t="shared" si="0"/>
        <v>2000</v>
      </c>
      <c r="F128">
        <v>125</v>
      </c>
      <c r="G128">
        <f t="shared" ref="G128:G151" si="5">$E128-F128</f>
        <v>1875</v>
      </c>
      <c r="H128" s="1">
        <f t="shared" si="4"/>
        <v>6.25E-2</v>
      </c>
    </row>
    <row r="129" spans="1:8">
      <c r="A129" s="2">
        <v>45710</v>
      </c>
      <c r="B129">
        <v>1</v>
      </c>
      <c r="C129">
        <v>1250</v>
      </c>
      <c r="E129">
        <f t="shared" ref="E129:E134" si="6">C129</f>
        <v>1250</v>
      </c>
      <c r="F129">
        <v>130</v>
      </c>
      <c r="G129">
        <f t="shared" si="5"/>
        <v>1120</v>
      </c>
      <c r="H129" s="1">
        <f t="shared" si="4"/>
        <v>0.104</v>
      </c>
    </row>
    <row r="130" spans="1:8">
      <c r="B130" s="3">
        <v>2</v>
      </c>
      <c r="C130">
        <v>1600</v>
      </c>
      <c r="E130">
        <f t="shared" si="6"/>
        <v>1600</v>
      </c>
      <c r="F130">
        <v>55</v>
      </c>
      <c r="G130">
        <f t="shared" si="5"/>
        <v>1545</v>
      </c>
      <c r="H130" s="1">
        <f t="shared" si="4"/>
        <v>3.4375000000000003E-2</v>
      </c>
    </row>
    <row r="131" spans="1:8">
      <c r="B131">
        <v>3</v>
      </c>
      <c r="C131">
        <v>1000</v>
      </c>
      <c r="E131">
        <f t="shared" si="6"/>
        <v>1000</v>
      </c>
      <c r="F131">
        <v>70</v>
      </c>
      <c r="G131">
        <f t="shared" si="5"/>
        <v>930</v>
      </c>
      <c r="H131" s="1">
        <f t="shared" si="4"/>
        <v>7.0000000000000007E-2</v>
      </c>
    </row>
    <row r="132" spans="1:8">
      <c r="B132" s="3">
        <v>4</v>
      </c>
      <c r="C132">
        <v>1600</v>
      </c>
      <c r="E132">
        <f t="shared" si="6"/>
        <v>1600</v>
      </c>
      <c r="F132">
        <v>100</v>
      </c>
      <c r="G132">
        <f t="shared" si="5"/>
        <v>1500</v>
      </c>
      <c r="H132" s="1">
        <f t="shared" si="4"/>
        <v>6.25E-2</v>
      </c>
    </row>
    <row r="133" spans="1:8">
      <c r="B133" s="3">
        <v>5</v>
      </c>
      <c r="C133">
        <v>900</v>
      </c>
      <c r="E133">
        <f t="shared" si="6"/>
        <v>900</v>
      </c>
      <c r="F133">
        <v>130</v>
      </c>
      <c r="G133">
        <f t="shared" si="5"/>
        <v>770</v>
      </c>
      <c r="H133" s="1">
        <f t="shared" si="4"/>
        <v>0.14444444444444443</v>
      </c>
    </row>
    <row r="134" spans="1:8">
      <c r="B134">
        <v>6</v>
      </c>
      <c r="C134">
        <v>2150</v>
      </c>
      <c r="E134">
        <f t="shared" si="6"/>
        <v>2150</v>
      </c>
      <c r="F134">
        <v>125</v>
      </c>
      <c r="G134">
        <f t="shared" si="5"/>
        <v>2025</v>
      </c>
      <c r="H134" s="1">
        <f t="shared" si="4"/>
        <v>5.8139534883720929E-2</v>
      </c>
    </row>
    <row r="135" spans="1:8">
      <c r="A135" s="2">
        <v>45711</v>
      </c>
      <c r="B135">
        <v>1</v>
      </c>
      <c r="C135">
        <v>600</v>
      </c>
      <c r="D135">
        <v>600</v>
      </c>
      <c r="E135">
        <f>$C135+D135</f>
        <v>1200</v>
      </c>
      <c r="F135">
        <v>95</v>
      </c>
      <c r="G135">
        <f t="shared" si="5"/>
        <v>1105</v>
      </c>
      <c r="H135" s="1">
        <f t="shared" si="4"/>
        <v>7.9166666666666663E-2</v>
      </c>
    </row>
    <row r="136" spans="1:8">
      <c r="B136" s="3">
        <v>2</v>
      </c>
      <c r="C136">
        <v>750</v>
      </c>
      <c r="D136">
        <v>750</v>
      </c>
      <c r="E136">
        <f t="shared" ref="E136:E170" si="7">$C136+D136</f>
        <v>1500</v>
      </c>
      <c r="F136">
        <v>70</v>
      </c>
      <c r="G136">
        <f t="shared" si="5"/>
        <v>1430</v>
      </c>
      <c r="H136" s="1">
        <f t="shared" si="4"/>
        <v>4.6666666666666669E-2</v>
      </c>
    </row>
    <row r="137" spans="1:8">
      <c r="B137">
        <v>3</v>
      </c>
      <c r="C137">
        <v>450</v>
      </c>
      <c r="D137">
        <v>450</v>
      </c>
      <c r="E137">
        <f t="shared" si="7"/>
        <v>900</v>
      </c>
      <c r="F137">
        <v>45</v>
      </c>
      <c r="G137">
        <f t="shared" si="5"/>
        <v>855</v>
      </c>
      <c r="H137" s="1">
        <f t="shared" si="4"/>
        <v>0.05</v>
      </c>
    </row>
    <row r="138" spans="1:8">
      <c r="B138" s="3">
        <v>4</v>
      </c>
      <c r="C138">
        <v>700</v>
      </c>
      <c r="D138">
        <v>700</v>
      </c>
      <c r="E138">
        <f t="shared" si="7"/>
        <v>1400</v>
      </c>
      <c r="F138">
        <v>115</v>
      </c>
      <c r="G138">
        <f t="shared" si="5"/>
        <v>1285</v>
      </c>
      <c r="H138" s="1">
        <f t="shared" si="4"/>
        <v>8.2142857142857142E-2</v>
      </c>
    </row>
    <row r="139" spans="1:8">
      <c r="B139" s="3">
        <v>5</v>
      </c>
      <c r="C139">
        <v>450</v>
      </c>
      <c r="D139">
        <v>450</v>
      </c>
      <c r="E139">
        <f t="shared" si="7"/>
        <v>900</v>
      </c>
      <c r="F139">
        <v>45</v>
      </c>
      <c r="G139">
        <f t="shared" si="5"/>
        <v>855</v>
      </c>
      <c r="H139" s="1">
        <f t="shared" si="4"/>
        <v>0.05</v>
      </c>
    </row>
    <row r="140" spans="1:8">
      <c r="B140">
        <v>6</v>
      </c>
      <c r="C140">
        <v>1000</v>
      </c>
      <c r="D140">
        <v>950</v>
      </c>
      <c r="E140">
        <f t="shared" si="7"/>
        <v>1950</v>
      </c>
      <c r="F140">
        <v>100</v>
      </c>
      <c r="G140">
        <f t="shared" si="5"/>
        <v>1850</v>
      </c>
      <c r="H140" s="1">
        <f t="shared" si="4"/>
        <v>5.128205128205128E-2</v>
      </c>
    </row>
    <row r="141" spans="1:8">
      <c r="A141" s="2">
        <v>45712</v>
      </c>
      <c r="B141">
        <v>1</v>
      </c>
      <c r="C141">
        <v>475</v>
      </c>
      <c r="D141">
        <v>600</v>
      </c>
      <c r="E141">
        <f t="shared" si="7"/>
        <v>1075</v>
      </c>
      <c r="F141">
        <v>20</v>
      </c>
      <c r="G141">
        <f t="shared" si="5"/>
        <v>1055</v>
      </c>
      <c r="H141" s="1">
        <f t="shared" si="4"/>
        <v>1.8604651162790697E-2</v>
      </c>
    </row>
    <row r="142" spans="1:8">
      <c r="B142" s="3">
        <v>2</v>
      </c>
      <c r="C142">
        <v>540</v>
      </c>
      <c r="D142">
        <v>750</v>
      </c>
      <c r="E142">
        <f t="shared" si="7"/>
        <v>1290</v>
      </c>
      <c r="F142">
        <v>5</v>
      </c>
      <c r="G142">
        <f t="shared" si="5"/>
        <v>1285</v>
      </c>
      <c r="H142" s="1">
        <f t="shared" si="4"/>
        <v>3.875968992248062E-3</v>
      </c>
    </row>
    <row r="143" spans="1:8">
      <c r="B143">
        <v>3</v>
      </c>
      <c r="C143">
        <v>450</v>
      </c>
      <c r="D143">
        <v>450</v>
      </c>
      <c r="E143">
        <f t="shared" si="7"/>
        <v>900</v>
      </c>
      <c r="F143">
        <v>70</v>
      </c>
      <c r="G143">
        <f t="shared" si="5"/>
        <v>830</v>
      </c>
      <c r="H143" s="1">
        <f t="shared" si="4"/>
        <v>7.7777777777777779E-2</v>
      </c>
    </row>
    <row r="144" spans="1:8">
      <c r="B144" s="3">
        <v>4</v>
      </c>
      <c r="C144">
        <v>715</v>
      </c>
      <c r="D144">
        <v>750</v>
      </c>
      <c r="E144">
        <f t="shared" si="7"/>
        <v>1465</v>
      </c>
      <c r="F144">
        <v>250</v>
      </c>
      <c r="G144">
        <f t="shared" si="5"/>
        <v>1215</v>
      </c>
      <c r="H144" s="1">
        <f t="shared" si="4"/>
        <v>0.17064846416382254</v>
      </c>
    </row>
    <row r="145" spans="1:8">
      <c r="B145" s="3">
        <v>5</v>
      </c>
      <c r="C145">
        <v>450</v>
      </c>
      <c r="D145">
        <v>450</v>
      </c>
      <c r="E145">
        <f t="shared" si="7"/>
        <v>900</v>
      </c>
      <c r="F145">
        <v>150</v>
      </c>
      <c r="G145">
        <f t="shared" si="5"/>
        <v>750</v>
      </c>
      <c r="H145" s="1">
        <f t="shared" si="4"/>
        <v>0.16666666666666666</v>
      </c>
    </row>
    <row r="146" spans="1:8">
      <c r="B146">
        <v>6</v>
      </c>
      <c r="C146">
        <v>950</v>
      </c>
      <c r="D146">
        <v>950</v>
      </c>
      <c r="E146">
        <f t="shared" si="7"/>
        <v>1900</v>
      </c>
      <c r="F146">
        <v>180</v>
      </c>
      <c r="G146">
        <f t="shared" si="5"/>
        <v>1720</v>
      </c>
      <c r="H146" s="1">
        <f t="shared" si="4"/>
        <v>9.4736842105263161E-2</v>
      </c>
    </row>
    <row r="147" spans="1:8">
      <c r="A147" s="2">
        <v>45713</v>
      </c>
      <c r="B147">
        <v>1</v>
      </c>
      <c r="C147">
        <v>500</v>
      </c>
      <c r="D147">
        <v>600</v>
      </c>
      <c r="E147">
        <f t="shared" si="7"/>
        <v>1100</v>
      </c>
      <c r="F147">
        <v>165</v>
      </c>
      <c r="G147">
        <f t="shared" si="5"/>
        <v>935</v>
      </c>
      <c r="H147" s="1">
        <f t="shared" si="4"/>
        <v>0.15</v>
      </c>
    </row>
    <row r="148" spans="1:8">
      <c r="B148" s="3">
        <v>2</v>
      </c>
      <c r="C148">
        <v>590</v>
      </c>
      <c r="D148">
        <v>750</v>
      </c>
      <c r="E148">
        <f t="shared" si="7"/>
        <v>1340</v>
      </c>
      <c r="F148">
        <v>0</v>
      </c>
      <c r="G148">
        <f t="shared" si="5"/>
        <v>1340</v>
      </c>
      <c r="H148" s="1">
        <f t="shared" si="4"/>
        <v>0</v>
      </c>
    </row>
    <row r="149" spans="1:8">
      <c r="B149">
        <v>3</v>
      </c>
      <c r="C149">
        <v>500</v>
      </c>
      <c r="D149">
        <v>450</v>
      </c>
      <c r="E149">
        <f t="shared" si="7"/>
        <v>950</v>
      </c>
      <c r="F149">
        <v>65</v>
      </c>
      <c r="G149">
        <f t="shared" si="5"/>
        <v>885</v>
      </c>
      <c r="H149" s="1">
        <f t="shared" si="4"/>
        <v>6.8421052631578952E-2</v>
      </c>
    </row>
    <row r="150" spans="1:8">
      <c r="B150" s="3">
        <v>4</v>
      </c>
      <c r="C150">
        <v>450</v>
      </c>
      <c r="D150">
        <v>750</v>
      </c>
      <c r="E150">
        <f t="shared" si="7"/>
        <v>1200</v>
      </c>
      <c r="F150">
        <v>40</v>
      </c>
      <c r="G150">
        <f t="shared" si="5"/>
        <v>1160</v>
      </c>
      <c r="H150" s="1">
        <f t="shared" si="4"/>
        <v>3.3333333333333333E-2</v>
      </c>
    </row>
    <row r="151" spans="1:8">
      <c r="B151" s="3">
        <v>5</v>
      </c>
      <c r="C151">
        <v>450</v>
      </c>
      <c r="D151">
        <v>450</v>
      </c>
      <c r="E151">
        <f t="shared" si="7"/>
        <v>900</v>
      </c>
      <c r="F151">
        <v>55</v>
      </c>
      <c r="G151">
        <f t="shared" si="5"/>
        <v>845</v>
      </c>
      <c r="H151" s="1">
        <f t="shared" si="4"/>
        <v>6.1111111111111109E-2</v>
      </c>
    </row>
    <row r="152" spans="1:8">
      <c r="B152">
        <v>6</v>
      </c>
      <c r="C152">
        <v>900</v>
      </c>
      <c r="D152">
        <v>950</v>
      </c>
      <c r="E152">
        <f t="shared" si="7"/>
        <v>1850</v>
      </c>
      <c r="F152">
        <v>30</v>
      </c>
      <c r="G152">
        <f t="shared" ref="G152:G170" si="8">$E152-F152</f>
        <v>1820</v>
      </c>
      <c r="H152" s="1">
        <f t="shared" si="4"/>
        <v>1.6216216216216217E-2</v>
      </c>
    </row>
    <row r="153" spans="1:8">
      <c r="A153" s="2">
        <v>45714</v>
      </c>
      <c r="B153">
        <v>1</v>
      </c>
      <c r="C153">
        <v>600</v>
      </c>
      <c r="D153">
        <v>600</v>
      </c>
      <c r="E153">
        <f t="shared" si="7"/>
        <v>1200</v>
      </c>
      <c r="F153">
        <v>120</v>
      </c>
      <c r="G153">
        <f t="shared" si="8"/>
        <v>1080</v>
      </c>
      <c r="H153" s="1">
        <f t="shared" si="4"/>
        <v>0.1</v>
      </c>
    </row>
    <row r="154" spans="1:8">
      <c r="B154" s="3">
        <v>2</v>
      </c>
      <c r="C154">
        <v>700</v>
      </c>
      <c r="D154">
        <v>700</v>
      </c>
      <c r="E154">
        <f t="shared" si="7"/>
        <v>1400</v>
      </c>
      <c r="F154">
        <v>40</v>
      </c>
      <c r="G154">
        <f t="shared" si="8"/>
        <v>1360</v>
      </c>
      <c r="H154" s="1">
        <f t="shared" si="4"/>
        <v>2.8571428571428571E-2</v>
      </c>
    </row>
    <row r="155" spans="1:8">
      <c r="B155">
        <v>3</v>
      </c>
      <c r="C155">
        <v>450</v>
      </c>
      <c r="D155">
        <v>450</v>
      </c>
      <c r="E155">
        <f t="shared" si="7"/>
        <v>900</v>
      </c>
      <c r="F155">
        <v>95</v>
      </c>
      <c r="G155">
        <f t="shared" si="8"/>
        <v>805</v>
      </c>
      <c r="H155" s="1">
        <f t="shared" si="4"/>
        <v>0.10555555555555556</v>
      </c>
    </row>
    <row r="156" spans="1:8">
      <c r="B156" s="3">
        <v>4</v>
      </c>
      <c r="C156">
        <v>700</v>
      </c>
      <c r="D156">
        <v>700</v>
      </c>
      <c r="E156">
        <f t="shared" si="7"/>
        <v>1400</v>
      </c>
      <c r="F156">
        <v>30</v>
      </c>
      <c r="G156">
        <f t="shared" si="8"/>
        <v>1370</v>
      </c>
      <c r="H156" s="1">
        <f t="shared" si="4"/>
        <v>2.1428571428571429E-2</v>
      </c>
    </row>
    <row r="157" spans="1:8">
      <c r="B157" s="3">
        <v>5</v>
      </c>
      <c r="C157">
        <v>450</v>
      </c>
      <c r="D157">
        <v>450</v>
      </c>
      <c r="E157">
        <f t="shared" si="7"/>
        <v>900</v>
      </c>
      <c r="F157">
        <v>165</v>
      </c>
      <c r="G157">
        <f t="shared" si="8"/>
        <v>735</v>
      </c>
      <c r="H157" s="1">
        <f t="shared" si="4"/>
        <v>0.18333333333333332</v>
      </c>
    </row>
    <row r="158" spans="1:8">
      <c r="B158">
        <v>6</v>
      </c>
      <c r="C158">
        <v>1000</v>
      </c>
      <c r="D158">
        <v>1000</v>
      </c>
      <c r="E158">
        <f t="shared" si="7"/>
        <v>2000</v>
      </c>
      <c r="F158">
        <v>70</v>
      </c>
      <c r="G158">
        <f t="shared" si="8"/>
        <v>1930</v>
      </c>
      <c r="H158" s="1">
        <f t="shared" si="4"/>
        <v>3.5000000000000003E-2</v>
      </c>
    </row>
    <row r="159" spans="1:8">
      <c r="A159" s="2">
        <v>45715</v>
      </c>
      <c r="B159">
        <v>1</v>
      </c>
      <c r="C159">
        <v>600</v>
      </c>
      <c r="D159">
        <v>600</v>
      </c>
      <c r="E159">
        <f t="shared" si="7"/>
        <v>1200</v>
      </c>
      <c r="F159">
        <v>100</v>
      </c>
      <c r="G159">
        <f t="shared" si="8"/>
        <v>1100</v>
      </c>
      <c r="H159" s="1">
        <f t="shared" si="4"/>
        <v>8.3333333333333329E-2</v>
      </c>
    </row>
    <row r="160" spans="1:8">
      <c r="B160" s="3">
        <v>2</v>
      </c>
      <c r="C160">
        <v>700</v>
      </c>
      <c r="D160">
        <v>700</v>
      </c>
      <c r="E160">
        <f t="shared" si="7"/>
        <v>1400</v>
      </c>
      <c r="F160">
        <v>35</v>
      </c>
      <c r="G160">
        <f t="shared" si="8"/>
        <v>1365</v>
      </c>
      <c r="H160" s="1">
        <f t="shared" si="4"/>
        <v>2.5000000000000001E-2</v>
      </c>
    </row>
    <row r="161" spans="1:8">
      <c r="B161">
        <v>3</v>
      </c>
      <c r="C161">
        <v>450</v>
      </c>
      <c r="D161">
        <v>450</v>
      </c>
      <c r="E161">
        <f t="shared" si="7"/>
        <v>900</v>
      </c>
      <c r="F161">
        <v>80</v>
      </c>
      <c r="G161">
        <f t="shared" si="8"/>
        <v>820</v>
      </c>
      <c r="H161" s="1">
        <f t="shared" si="4"/>
        <v>8.8888888888888892E-2</v>
      </c>
    </row>
    <row r="162" spans="1:8">
      <c r="B162" s="3">
        <v>4</v>
      </c>
      <c r="C162">
        <v>700</v>
      </c>
      <c r="D162">
        <v>700</v>
      </c>
      <c r="E162">
        <f t="shared" si="7"/>
        <v>1400</v>
      </c>
      <c r="F162">
        <v>60</v>
      </c>
      <c r="G162">
        <f t="shared" si="8"/>
        <v>1340</v>
      </c>
      <c r="H162" s="1">
        <f t="shared" si="4"/>
        <v>4.2857142857142858E-2</v>
      </c>
    </row>
    <row r="163" spans="1:8">
      <c r="B163" s="3">
        <v>5</v>
      </c>
      <c r="C163">
        <v>450</v>
      </c>
      <c r="D163">
        <v>450</v>
      </c>
      <c r="E163">
        <f t="shared" si="7"/>
        <v>900</v>
      </c>
      <c r="F163">
        <v>70</v>
      </c>
      <c r="G163">
        <f t="shared" si="8"/>
        <v>830</v>
      </c>
      <c r="H163" s="1">
        <f t="shared" si="4"/>
        <v>7.7777777777777779E-2</v>
      </c>
    </row>
    <row r="164" spans="1:8">
      <c r="B164">
        <v>6</v>
      </c>
      <c r="C164">
        <v>1000</v>
      </c>
      <c r="D164">
        <v>1000</v>
      </c>
      <c r="E164">
        <f t="shared" si="7"/>
        <v>2000</v>
      </c>
      <c r="F164">
        <v>40</v>
      </c>
      <c r="G164">
        <f t="shared" si="8"/>
        <v>1960</v>
      </c>
      <c r="H164" s="1">
        <f t="shared" si="4"/>
        <v>0.02</v>
      </c>
    </row>
    <row r="165" spans="1:8">
      <c r="A165" s="2">
        <v>45716</v>
      </c>
      <c r="B165">
        <v>1</v>
      </c>
      <c r="C165">
        <v>500</v>
      </c>
      <c r="D165">
        <v>500</v>
      </c>
      <c r="E165">
        <f t="shared" si="7"/>
        <v>1000</v>
      </c>
      <c r="F165">
        <v>95</v>
      </c>
      <c r="G165">
        <f t="shared" si="8"/>
        <v>905</v>
      </c>
      <c r="H165" s="1">
        <f t="shared" si="4"/>
        <v>9.5000000000000001E-2</v>
      </c>
    </row>
    <row r="166" spans="1:8">
      <c r="B166" s="3">
        <v>2</v>
      </c>
      <c r="C166">
        <v>700</v>
      </c>
      <c r="D166">
        <v>700</v>
      </c>
      <c r="E166">
        <f t="shared" si="7"/>
        <v>1400</v>
      </c>
      <c r="F166">
        <v>35</v>
      </c>
      <c r="G166">
        <f t="shared" si="8"/>
        <v>1365</v>
      </c>
      <c r="H166" s="1">
        <f t="shared" si="4"/>
        <v>2.5000000000000001E-2</v>
      </c>
    </row>
    <row r="167" spans="1:8">
      <c r="B167">
        <v>3</v>
      </c>
      <c r="C167">
        <v>450</v>
      </c>
      <c r="D167">
        <v>450</v>
      </c>
      <c r="E167">
        <f t="shared" si="7"/>
        <v>900</v>
      </c>
      <c r="F167">
        <v>40</v>
      </c>
      <c r="G167">
        <f t="shared" si="8"/>
        <v>860</v>
      </c>
      <c r="H167" s="1">
        <f t="shared" si="4"/>
        <v>4.4444444444444446E-2</v>
      </c>
    </row>
    <row r="168" spans="1:8">
      <c r="B168" s="3">
        <v>4</v>
      </c>
      <c r="C168">
        <v>700</v>
      </c>
      <c r="D168">
        <v>700</v>
      </c>
      <c r="E168">
        <f t="shared" si="7"/>
        <v>1400</v>
      </c>
      <c r="F168">
        <v>60</v>
      </c>
      <c r="G168">
        <f t="shared" si="8"/>
        <v>1340</v>
      </c>
      <c r="H168" s="1">
        <f t="shared" si="4"/>
        <v>4.2857142857142858E-2</v>
      </c>
    </row>
    <row r="169" spans="1:8">
      <c r="B169" s="3">
        <v>5</v>
      </c>
      <c r="C169">
        <v>450</v>
      </c>
      <c r="D169">
        <v>450</v>
      </c>
      <c r="E169">
        <f t="shared" si="7"/>
        <v>900</v>
      </c>
      <c r="F169">
        <v>50</v>
      </c>
      <c r="G169">
        <f t="shared" si="8"/>
        <v>850</v>
      </c>
      <c r="H169" s="1">
        <f t="shared" si="4"/>
        <v>5.5555555555555552E-2</v>
      </c>
    </row>
    <row r="170" spans="1:8">
      <c r="B170">
        <v>6</v>
      </c>
      <c r="C170">
        <v>1000</v>
      </c>
      <c r="D170">
        <v>1000</v>
      </c>
      <c r="E170">
        <f t="shared" si="7"/>
        <v>2000</v>
      </c>
      <c r="F170">
        <v>95</v>
      </c>
      <c r="G170">
        <f t="shared" si="8"/>
        <v>1905</v>
      </c>
      <c r="H170" s="1">
        <f t="shared" si="4"/>
        <v>4.7500000000000001E-2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DDE4-F77D-49E8-8C5A-4B39BAF4355D}">
  <dimension ref="A1:I188"/>
  <sheetViews>
    <sheetView workbookViewId="0">
      <selection activeCell="J14" sqref="J14"/>
    </sheetView>
  </sheetViews>
  <sheetFormatPr baseColWidth="10" defaultRowHeight="14"/>
  <cols>
    <col min="2" max="2" width="10.9140625" style="4"/>
    <col min="9" max="9" width="25.6640625" customWidth="1"/>
  </cols>
  <sheetData>
    <row r="1" spans="1:8" ht="20.5" thickBot="1">
      <c r="A1" s="96" t="s">
        <v>15</v>
      </c>
      <c r="B1" s="96"/>
      <c r="C1" s="96"/>
      <c r="D1" s="96"/>
      <c r="E1" s="96"/>
      <c r="F1" s="96"/>
      <c r="G1" s="96"/>
      <c r="H1" s="96"/>
    </row>
    <row r="2" spans="1:8" ht="16" thickBot="1">
      <c r="A2" s="19" t="s">
        <v>0</v>
      </c>
      <c r="B2" s="21" t="s">
        <v>1</v>
      </c>
      <c r="C2" s="21" t="s">
        <v>2</v>
      </c>
      <c r="D2" s="21" t="s">
        <v>3</v>
      </c>
      <c r="E2" s="21" t="s">
        <v>5</v>
      </c>
      <c r="F2" s="21" t="s">
        <v>4</v>
      </c>
      <c r="G2" s="21" t="s">
        <v>7</v>
      </c>
      <c r="H2" s="20" t="s">
        <v>8</v>
      </c>
    </row>
    <row r="3" spans="1:8">
      <c r="A3" s="2">
        <v>45717</v>
      </c>
      <c r="B3" s="4">
        <v>1</v>
      </c>
      <c r="C3">
        <v>500</v>
      </c>
      <c r="D3">
        <v>500</v>
      </c>
      <c r="E3">
        <f>C3+D3</f>
        <v>1000</v>
      </c>
      <c r="F3">
        <v>100</v>
      </c>
      <c r="G3">
        <f>E3-F3</f>
        <v>900</v>
      </c>
      <c r="H3" s="1">
        <f>$F3/E3</f>
        <v>0.1</v>
      </c>
    </row>
    <row r="4" spans="1:8">
      <c r="B4" s="15">
        <v>2</v>
      </c>
      <c r="C4">
        <v>700</v>
      </c>
      <c r="D4">
        <v>700</v>
      </c>
      <c r="E4">
        <f t="shared" ref="E4:E67" si="0">C4+D4</f>
        <v>1400</v>
      </c>
      <c r="F4">
        <v>45</v>
      </c>
      <c r="G4">
        <f t="shared" ref="G4:G67" si="1">E4-F4</f>
        <v>1355</v>
      </c>
      <c r="H4" s="1">
        <f t="shared" ref="H4:H67" si="2">$F4/E4</f>
        <v>3.214285714285714E-2</v>
      </c>
    </row>
    <row r="5" spans="1:8">
      <c r="B5" s="4">
        <v>3</v>
      </c>
      <c r="C5">
        <v>450</v>
      </c>
      <c r="D5">
        <v>450</v>
      </c>
      <c r="E5">
        <f t="shared" si="0"/>
        <v>900</v>
      </c>
      <c r="F5">
        <v>70</v>
      </c>
      <c r="G5">
        <f t="shared" si="1"/>
        <v>830</v>
      </c>
      <c r="H5" s="1">
        <f t="shared" si="2"/>
        <v>7.7777777777777779E-2</v>
      </c>
    </row>
    <row r="6" spans="1:8">
      <c r="B6" s="15">
        <v>4</v>
      </c>
      <c r="C6">
        <v>700</v>
      </c>
      <c r="D6">
        <v>700</v>
      </c>
      <c r="E6">
        <f t="shared" si="0"/>
        <v>1400</v>
      </c>
      <c r="F6">
        <v>35</v>
      </c>
      <c r="G6">
        <f t="shared" si="1"/>
        <v>1365</v>
      </c>
      <c r="H6" s="1">
        <f t="shared" si="2"/>
        <v>2.5000000000000001E-2</v>
      </c>
    </row>
    <row r="7" spans="1:8">
      <c r="B7" s="15">
        <v>5</v>
      </c>
      <c r="C7">
        <v>450</v>
      </c>
      <c r="D7">
        <v>450</v>
      </c>
      <c r="E7">
        <f t="shared" si="0"/>
        <v>900</v>
      </c>
      <c r="F7">
        <v>60</v>
      </c>
      <c r="G7">
        <f t="shared" si="1"/>
        <v>840</v>
      </c>
      <c r="H7" s="1">
        <f t="shared" si="2"/>
        <v>6.6666666666666666E-2</v>
      </c>
    </row>
    <row r="8" spans="1:8">
      <c r="B8" s="4">
        <v>6</v>
      </c>
      <c r="C8">
        <v>1000</v>
      </c>
      <c r="D8">
        <v>1000</v>
      </c>
      <c r="E8">
        <f t="shared" si="0"/>
        <v>2000</v>
      </c>
      <c r="F8">
        <v>85</v>
      </c>
      <c r="G8">
        <f t="shared" si="1"/>
        <v>1915</v>
      </c>
      <c r="H8" s="1">
        <f t="shared" si="2"/>
        <v>4.2500000000000003E-2</v>
      </c>
    </row>
    <row r="9" spans="1:8">
      <c r="A9" s="2">
        <v>45718</v>
      </c>
      <c r="B9" s="4">
        <v>1</v>
      </c>
      <c r="C9">
        <v>500</v>
      </c>
      <c r="D9">
        <v>500</v>
      </c>
      <c r="E9">
        <f t="shared" si="0"/>
        <v>1000</v>
      </c>
      <c r="F9">
        <v>110</v>
      </c>
      <c r="G9">
        <f t="shared" si="1"/>
        <v>890</v>
      </c>
      <c r="H9" s="1">
        <f t="shared" si="2"/>
        <v>0.11</v>
      </c>
    </row>
    <row r="10" spans="1:8">
      <c r="B10" s="15">
        <v>2</v>
      </c>
      <c r="C10">
        <v>700</v>
      </c>
      <c r="D10">
        <v>700</v>
      </c>
      <c r="E10">
        <f t="shared" si="0"/>
        <v>1400</v>
      </c>
      <c r="F10">
        <v>50</v>
      </c>
      <c r="G10">
        <f t="shared" si="1"/>
        <v>1350</v>
      </c>
      <c r="H10" s="1">
        <f t="shared" si="2"/>
        <v>3.5714285714285712E-2</v>
      </c>
    </row>
    <row r="11" spans="1:8">
      <c r="B11" s="4">
        <v>3</v>
      </c>
      <c r="C11">
        <v>450</v>
      </c>
      <c r="D11">
        <v>450</v>
      </c>
      <c r="E11">
        <f t="shared" si="0"/>
        <v>900</v>
      </c>
      <c r="F11">
        <v>85</v>
      </c>
      <c r="G11">
        <f t="shared" si="1"/>
        <v>815</v>
      </c>
      <c r="H11" s="1">
        <f t="shared" si="2"/>
        <v>9.4444444444444442E-2</v>
      </c>
    </row>
    <row r="12" spans="1:8">
      <c r="B12" s="15">
        <v>4</v>
      </c>
      <c r="C12">
        <v>700</v>
      </c>
      <c r="D12">
        <v>700</v>
      </c>
      <c r="E12">
        <f t="shared" si="0"/>
        <v>1400</v>
      </c>
      <c r="F12">
        <v>45</v>
      </c>
      <c r="G12">
        <f t="shared" si="1"/>
        <v>1355</v>
      </c>
      <c r="H12" s="1">
        <f t="shared" si="2"/>
        <v>3.214285714285714E-2</v>
      </c>
    </row>
    <row r="13" spans="1:8">
      <c r="B13" s="15">
        <v>5</v>
      </c>
      <c r="C13">
        <v>450</v>
      </c>
      <c r="D13">
        <v>450</v>
      </c>
      <c r="E13">
        <f t="shared" si="0"/>
        <v>900</v>
      </c>
      <c r="F13">
        <v>80</v>
      </c>
      <c r="G13">
        <f t="shared" si="1"/>
        <v>820</v>
      </c>
      <c r="H13" s="1">
        <f t="shared" si="2"/>
        <v>8.8888888888888892E-2</v>
      </c>
    </row>
    <row r="14" spans="1:8">
      <c r="B14" s="4">
        <v>6</v>
      </c>
      <c r="C14">
        <v>1000</v>
      </c>
      <c r="D14">
        <v>1000</v>
      </c>
      <c r="E14">
        <f t="shared" si="0"/>
        <v>2000</v>
      </c>
      <c r="F14">
        <v>40</v>
      </c>
      <c r="G14">
        <f t="shared" si="1"/>
        <v>1960</v>
      </c>
      <c r="H14" s="1">
        <f t="shared" si="2"/>
        <v>0.02</v>
      </c>
    </row>
    <row r="15" spans="1:8">
      <c r="A15" s="2">
        <v>45719</v>
      </c>
      <c r="B15" s="4">
        <v>1</v>
      </c>
      <c r="C15">
        <v>500</v>
      </c>
      <c r="D15">
        <v>500</v>
      </c>
      <c r="E15">
        <f t="shared" si="0"/>
        <v>1000</v>
      </c>
      <c r="F15">
        <v>120</v>
      </c>
      <c r="G15">
        <f t="shared" si="1"/>
        <v>880</v>
      </c>
      <c r="H15" s="1">
        <f t="shared" si="2"/>
        <v>0.12</v>
      </c>
    </row>
    <row r="16" spans="1:8">
      <c r="B16" s="15">
        <v>2</v>
      </c>
      <c r="C16">
        <v>700</v>
      </c>
      <c r="D16">
        <v>700</v>
      </c>
      <c r="E16">
        <f t="shared" si="0"/>
        <v>1400</v>
      </c>
      <c r="F16">
        <v>100</v>
      </c>
      <c r="G16">
        <f t="shared" si="1"/>
        <v>1300</v>
      </c>
      <c r="H16" s="1">
        <f t="shared" si="2"/>
        <v>7.1428571428571425E-2</v>
      </c>
    </row>
    <row r="17" spans="1:8">
      <c r="B17" s="4">
        <v>3</v>
      </c>
      <c r="C17">
        <v>450</v>
      </c>
      <c r="D17">
        <v>450</v>
      </c>
      <c r="E17">
        <f t="shared" si="0"/>
        <v>900</v>
      </c>
      <c r="F17">
        <v>115</v>
      </c>
      <c r="G17">
        <f t="shared" si="1"/>
        <v>785</v>
      </c>
      <c r="H17" s="1">
        <f t="shared" si="2"/>
        <v>0.12777777777777777</v>
      </c>
    </row>
    <row r="18" spans="1:8">
      <c r="B18" s="15">
        <v>4</v>
      </c>
      <c r="C18">
        <v>700</v>
      </c>
      <c r="D18">
        <v>700</v>
      </c>
      <c r="E18">
        <f t="shared" si="0"/>
        <v>1400</v>
      </c>
      <c r="F18">
        <v>50</v>
      </c>
      <c r="G18">
        <f t="shared" si="1"/>
        <v>1350</v>
      </c>
      <c r="H18" s="1">
        <f t="shared" si="2"/>
        <v>3.5714285714285712E-2</v>
      </c>
    </row>
    <row r="19" spans="1:8">
      <c r="B19" s="15">
        <v>5</v>
      </c>
      <c r="C19">
        <v>450</v>
      </c>
      <c r="D19">
        <v>450</v>
      </c>
      <c r="E19">
        <f t="shared" si="0"/>
        <v>900</v>
      </c>
      <c r="F19">
        <v>80</v>
      </c>
      <c r="G19">
        <f t="shared" si="1"/>
        <v>820</v>
      </c>
      <c r="H19" s="1">
        <f t="shared" si="2"/>
        <v>8.8888888888888892E-2</v>
      </c>
    </row>
    <row r="20" spans="1:8">
      <c r="B20" s="4">
        <v>6</v>
      </c>
      <c r="C20">
        <v>1000</v>
      </c>
      <c r="D20">
        <v>1000</v>
      </c>
      <c r="E20">
        <f t="shared" si="0"/>
        <v>2000</v>
      </c>
      <c r="F20">
        <v>100</v>
      </c>
      <c r="G20">
        <f t="shared" si="1"/>
        <v>1900</v>
      </c>
      <c r="H20" s="1">
        <f t="shared" si="2"/>
        <v>0.05</v>
      </c>
    </row>
    <row r="21" spans="1:8">
      <c r="A21" s="2">
        <v>45720</v>
      </c>
      <c r="B21" s="4">
        <v>1</v>
      </c>
      <c r="C21">
        <v>500</v>
      </c>
      <c r="D21">
        <v>500</v>
      </c>
      <c r="E21">
        <f t="shared" si="0"/>
        <v>1000</v>
      </c>
      <c r="F21">
        <v>20</v>
      </c>
      <c r="G21">
        <f t="shared" si="1"/>
        <v>980</v>
      </c>
      <c r="H21" s="1">
        <f t="shared" si="2"/>
        <v>0.02</v>
      </c>
    </row>
    <row r="22" spans="1:8">
      <c r="B22" s="15">
        <v>2</v>
      </c>
      <c r="C22">
        <v>700</v>
      </c>
      <c r="D22">
        <v>700</v>
      </c>
      <c r="E22">
        <f t="shared" si="0"/>
        <v>1400</v>
      </c>
      <c r="F22">
        <v>0</v>
      </c>
      <c r="G22">
        <f t="shared" si="1"/>
        <v>1400</v>
      </c>
      <c r="H22" s="1">
        <f t="shared" si="2"/>
        <v>0</v>
      </c>
    </row>
    <row r="23" spans="1:8">
      <c r="B23" s="4">
        <v>3</v>
      </c>
      <c r="C23">
        <v>450</v>
      </c>
      <c r="D23">
        <v>450</v>
      </c>
      <c r="E23">
        <f t="shared" si="0"/>
        <v>900</v>
      </c>
      <c r="F23">
        <v>125</v>
      </c>
      <c r="G23">
        <f t="shared" si="1"/>
        <v>775</v>
      </c>
      <c r="H23" s="1">
        <f t="shared" si="2"/>
        <v>0.1388888888888889</v>
      </c>
    </row>
    <row r="24" spans="1:8">
      <c r="B24" s="15">
        <v>4</v>
      </c>
      <c r="C24">
        <v>700</v>
      </c>
      <c r="D24">
        <v>700</v>
      </c>
      <c r="E24">
        <f t="shared" si="0"/>
        <v>1400</v>
      </c>
      <c r="F24">
        <v>0</v>
      </c>
      <c r="G24">
        <f t="shared" si="1"/>
        <v>1400</v>
      </c>
      <c r="H24" s="1">
        <f t="shared" si="2"/>
        <v>0</v>
      </c>
    </row>
    <row r="25" spans="1:8">
      <c r="B25" s="15">
        <v>5</v>
      </c>
      <c r="C25">
        <v>450</v>
      </c>
      <c r="D25">
        <v>450</v>
      </c>
      <c r="E25">
        <f t="shared" si="0"/>
        <v>900</v>
      </c>
      <c r="F25">
        <v>60</v>
      </c>
      <c r="G25">
        <f t="shared" si="1"/>
        <v>840</v>
      </c>
      <c r="H25" s="1">
        <f t="shared" si="2"/>
        <v>6.6666666666666666E-2</v>
      </c>
    </row>
    <row r="26" spans="1:8">
      <c r="B26" s="4">
        <v>6</v>
      </c>
      <c r="C26">
        <v>900</v>
      </c>
      <c r="D26">
        <v>900</v>
      </c>
      <c r="E26">
        <f t="shared" si="0"/>
        <v>1800</v>
      </c>
      <c r="F26">
        <v>55</v>
      </c>
      <c r="G26">
        <f t="shared" si="1"/>
        <v>1745</v>
      </c>
      <c r="H26" s="1">
        <f t="shared" si="2"/>
        <v>3.0555555555555555E-2</v>
      </c>
    </row>
    <row r="27" spans="1:8">
      <c r="A27" s="2">
        <v>45721</v>
      </c>
      <c r="B27" s="4">
        <v>1</v>
      </c>
      <c r="C27">
        <v>500</v>
      </c>
      <c r="D27">
        <v>500</v>
      </c>
      <c r="E27">
        <f t="shared" si="0"/>
        <v>1000</v>
      </c>
      <c r="F27">
        <v>80</v>
      </c>
      <c r="G27">
        <f t="shared" si="1"/>
        <v>920</v>
      </c>
      <c r="H27" s="1">
        <f t="shared" si="2"/>
        <v>0.08</v>
      </c>
    </row>
    <row r="28" spans="1:8">
      <c r="B28" s="15">
        <v>2</v>
      </c>
      <c r="C28">
        <v>700</v>
      </c>
      <c r="D28">
        <v>700</v>
      </c>
      <c r="E28">
        <f t="shared" si="0"/>
        <v>1400</v>
      </c>
      <c r="F28">
        <v>100</v>
      </c>
      <c r="G28">
        <f t="shared" si="1"/>
        <v>1300</v>
      </c>
      <c r="H28" s="1">
        <f t="shared" si="2"/>
        <v>7.1428571428571425E-2</v>
      </c>
    </row>
    <row r="29" spans="1:8">
      <c r="B29" s="4">
        <v>3</v>
      </c>
      <c r="C29">
        <v>450</v>
      </c>
      <c r="D29">
        <v>4500</v>
      </c>
      <c r="E29">
        <f t="shared" si="0"/>
        <v>4950</v>
      </c>
      <c r="F29">
        <v>120</v>
      </c>
      <c r="G29">
        <f t="shared" si="1"/>
        <v>4830</v>
      </c>
      <c r="H29" s="1">
        <f t="shared" si="2"/>
        <v>2.4242424242424242E-2</v>
      </c>
    </row>
    <row r="30" spans="1:8">
      <c r="B30" s="15">
        <v>4</v>
      </c>
      <c r="C30">
        <v>700</v>
      </c>
      <c r="D30">
        <v>700</v>
      </c>
      <c r="E30">
        <f t="shared" si="0"/>
        <v>1400</v>
      </c>
      <c r="F30">
        <v>5</v>
      </c>
      <c r="G30">
        <f t="shared" si="1"/>
        <v>1395</v>
      </c>
      <c r="H30" s="1">
        <f t="shared" si="2"/>
        <v>3.5714285714285713E-3</v>
      </c>
    </row>
    <row r="31" spans="1:8">
      <c r="B31" s="15">
        <v>5</v>
      </c>
      <c r="C31">
        <v>450</v>
      </c>
      <c r="D31">
        <v>450</v>
      </c>
      <c r="E31">
        <f t="shared" si="0"/>
        <v>900</v>
      </c>
      <c r="F31">
        <v>15</v>
      </c>
      <c r="G31">
        <f t="shared" si="1"/>
        <v>885</v>
      </c>
      <c r="H31" s="1">
        <f t="shared" si="2"/>
        <v>1.6666666666666666E-2</v>
      </c>
    </row>
    <row r="32" spans="1:8">
      <c r="B32" s="4">
        <v>6</v>
      </c>
      <c r="C32">
        <v>1000</v>
      </c>
      <c r="D32">
        <v>1000</v>
      </c>
      <c r="E32">
        <f t="shared" si="0"/>
        <v>2000</v>
      </c>
      <c r="F32">
        <v>40</v>
      </c>
      <c r="G32">
        <f t="shared" si="1"/>
        <v>1960</v>
      </c>
      <c r="H32" s="1">
        <f t="shared" si="2"/>
        <v>0.02</v>
      </c>
    </row>
    <row r="33" spans="1:8">
      <c r="A33" s="2">
        <v>45722</v>
      </c>
      <c r="B33" s="4">
        <v>1</v>
      </c>
      <c r="C33">
        <v>500</v>
      </c>
      <c r="D33">
        <v>500</v>
      </c>
      <c r="E33">
        <f t="shared" si="0"/>
        <v>1000</v>
      </c>
      <c r="F33">
        <v>45</v>
      </c>
      <c r="G33">
        <f t="shared" si="1"/>
        <v>955</v>
      </c>
      <c r="H33" s="1">
        <f t="shared" si="2"/>
        <v>4.4999999999999998E-2</v>
      </c>
    </row>
    <row r="34" spans="1:8">
      <c r="B34" s="15">
        <v>2</v>
      </c>
      <c r="C34">
        <v>700</v>
      </c>
      <c r="D34">
        <v>700</v>
      </c>
      <c r="E34">
        <f t="shared" si="0"/>
        <v>1400</v>
      </c>
      <c r="F34">
        <v>0</v>
      </c>
      <c r="G34">
        <f t="shared" si="1"/>
        <v>1400</v>
      </c>
      <c r="H34" s="1">
        <f t="shared" si="2"/>
        <v>0</v>
      </c>
    </row>
    <row r="35" spans="1:8">
      <c r="B35" s="4">
        <v>3</v>
      </c>
      <c r="C35">
        <v>450</v>
      </c>
      <c r="D35">
        <v>450</v>
      </c>
      <c r="E35">
        <f t="shared" si="0"/>
        <v>900</v>
      </c>
      <c r="F35">
        <v>60</v>
      </c>
      <c r="G35">
        <f t="shared" si="1"/>
        <v>840</v>
      </c>
      <c r="H35" s="1">
        <f t="shared" si="2"/>
        <v>6.6666666666666666E-2</v>
      </c>
    </row>
    <row r="36" spans="1:8">
      <c r="B36" s="15">
        <v>4</v>
      </c>
      <c r="C36">
        <v>700</v>
      </c>
      <c r="D36">
        <v>700</v>
      </c>
      <c r="E36">
        <f t="shared" si="0"/>
        <v>1400</v>
      </c>
      <c r="F36">
        <v>0</v>
      </c>
      <c r="G36">
        <f t="shared" si="1"/>
        <v>1400</v>
      </c>
      <c r="H36" s="1">
        <f t="shared" si="2"/>
        <v>0</v>
      </c>
    </row>
    <row r="37" spans="1:8">
      <c r="B37" s="15">
        <v>5</v>
      </c>
      <c r="C37">
        <v>450</v>
      </c>
      <c r="D37">
        <v>450</v>
      </c>
      <c r="E37">
        <f t="shared" si="0"/>
        <v>900</v>
      </c>
      <c r="F37">
        <v>35</v>
      </c>
      <c r="G37">
        <f t="shared" si="1"/>
        <v>865</v>
      </c>
      <c r="H37" s="1">
        <f t="shared" si="2"/>
        <v>3.888888888888889E-2</v>
      </c>
    </row>
    <row r="38" spans="1:8">
      <c r="B38" s="4">
        <v>6</v>
      </c>
      <c r="C38">
        <v>900</v>
      </c>
      <c r="D38">
        <v>900</v>
      </c>
      <c r="E38">
        <f t="shared" si="0"/>
        <v>1800</v>
      </c>
      <c r="F38">
        <v>30</v>
      </c>
      <c r="G38">
        <f t="shared" si="1"/>
        <v>1770</v>
      </c>
      <c r="H38" s="1">
        <f t="shared" si="2"/>
        <v>1.6666666666666666E-2</v>
      </c>
    </row>
    <row r="39" spans="1:8">
      <c r="A39" s="14" t="s">
        <v>16</v>
      </c>
      <c r="B39" s="4">
        <v>1</v>
      </c>
      <c r="C39">
        <v>500</v>
      </c>
      <c r="D39">
        <v>500</v>
      </c>
      <c r="E39">
        <f t="shared" si="0"/>
        <v>1000</v>
      </c>
      <c r="F39">
        <v>45</v>
      </c>
      <c r="G39">
        <f t="shared" si="1"/>
        <v>955</v>
      </c>
      <c r="H39" s="1">
        <f t="shared" si="2"/>
        <v>4.4999999999999998E-2</v>
      </c>
    </row>
    <row r="40" spans="1:8">
      <c r="B40" s="15">
        <v>2</v>
      </c>
      <c r="C40">
        <v>600</v>
      </c>
      <c r="D40">
        <v>750</v>
      </c>
      <c r="E40">
        <f t="shared" si="0"/>
        <v>1350</v>
      </c>
      <c r="F40">
        <v>30</v>
      </c>
      <c r="G40">
        <f t="shared" si="1"/>
        <v>1320</v>
      </c>
      <c r="H40" s="1">
        <f t="shared" si="2"/>
        <v>2.2222222222222223E-2</v>
      </c>
    </row>
    <row r="41" spans="1:8">
      <c r="B41" s="4">
        <v>3</v>
      </c>
      <c r="C41">
        <v>450</v>
      </c>
      <c r="D41">
        <v>450</v>
      </c>
      <c r="E41">
        <f t="shared" si="0"/>
        <v>900</v>
      </c>
      <c r="F41">
        <v>35</v>
      </c>
      <c r="G41">
        <f t="shared" si="1"/>
        <v>865</v>
      </c>
      <c r="H41" s="1">
        <f t="shared" si="2"/>
        <v>3.888888888888889E-2</v>
      </c>
    </row>
    <row r="42" spans="1:8">
      <c r="B42" s="15">
        <v>4</v>
      </c>
      <c r="C42">
        <v>800</v>
      </c>
      <c r="D42">
        <v>750</v>
      </c>
      <c r="E42">
        <f t="shared" si="0"/>
        <v>1550</v>
      </c>
      <c r="F42">
        <v>0</v>
      </c>
      <c r="G42">
        <f t="shared" si="1"/>
        <v>1550</v>
      </c>
      <c r="H42" s="1">
        <f t="shared" si="2"/>
        <v>0</v>
      </c>
    </row>
    <row r="43" spans="1:8">
      <c r="B43" s="15">
        <v>5</v>
      </c>
      <c r="C43">
        <v>450</v>
      </c>
      <c r="D43">
        <v>450</v>
      </c>
      <c r="E43">
        <f t="shared" si="0"/>
        <v>900</v>
      </c>
      <c r="F43">
        <v>0</v>
      </c>
      <c r="G43">
        <f t="shared" si="1"/>
        <v>900</v>
      </c>
      <c r="H43" s="1">
        <f t="shared" si="2"/>
        <v>0</v>
      </c>
    </row>
    <row r="44" spans="1:8">
      <c r="B44" s="4">
        <v>6</v>
      </c>
      <c r="C44">
        <v>1000</v>
      </c>
      <c r="D44">
        <v>1000</v>
      </c>
      <c r="E44">
        <f t="shared" si="0"/>
        <v>2000</v>
      </c>
      <c r="F44">
        <v>30</v>
      </c>
      <c r="G44">
        <f t="shared" si="1"/>
        <v>1970</v>
      </c>
      <c r="H44" s="1">
        <f t="shared" si="2"/>
        <v>1.4999999999999999E-2</v>
      </c>
    </row>
    <row r="45" spans="1:8">
      <c r="A45" s="2">
        <v>45724</v>
      </c>
      <c r="B45" s="4">
        <v>1</v>
      </c>
      <c r="C45">
        <v>500</v>
      </c>
      <c r="D45">
        <v>500</v>
      </c>
      <c r="E45">
        <f t="shared" si="0"/>
        <v>1000</v>
      </c>
      <c r="F45">
        <v>100</v>
      </c>
      <c r="G45">
        <f t="shared" si="1"/>
        <v>900</v>
      </c>
      <c r="H45" s="1">
        <f t="shared" si="2"/>
        <v>0.1</v>
      </c>
    </row>
    <row r="46" spans="1:8">
      <c r="B46" s="15">
        <v>2</v>
      </c>
      <c r="C46">
        <v>800</v>
      </c>
      <c r="D46">
        <v>750</v>
      </c>
      <c r="E46">
        <f t="shared" si="0"/>
        <v>1550</v>
      </c>
      <c r="F46">
        <v>60</v>
      </c>
      <c r="G46">
        <f t="shared" si="1"/>
        <v>1490</v>
      </c>
      <c r="H46" s="1">
        <f t="shared" si="2"/>
        <v>3.870967741935484E-2</v>
      </c>
    </row>
    <row r="47" spans="1:8">
      <c r="B47" s="4">
        <v>3</v>
      </c>
      <c r="C47">
        <v>450</v>
      </c>
      <c r="D47">
        <v>450</v>
      </c>
      <c r="E47">
        <f t="shared" si="0"/>
        <v>900</v>
      </c>
      <c r="F47">
        <v>40</v>
      </c>
      <c r="G47">
        <f t="shared" si="1"/>
        <v>860</v>
      </c>
      <c r="H47" s="1">
        <f t="shared" si="2"/>
        <v>4.4444444444444446E-2</v>
      </c>
    </row>
    <row r="48" spans="1:8">
      <c r="B48" s="15">
        <v>4</v>
      </c>
      <c r="C48">
        <v>800</v>
      </c>
      <c r="D48">
        <v>750</v>
      </c>
      <c r="E48">
        <f t="shared" si="0"/>
        <v>1550</v>
      </c>
      <c r="F48">
        <v>75</v>
      </c>
      <c r="G48">
        <f t="shared" si="1"/>
        <v>1475</v>
      </c>
      <c r="H48" s="1">
        <f t="shared" si="2"/>
        <v>4.8387096774193547E-2</v>
      </c>
    </row>
    <row r="49" spans="1:9">
      <c r="B49" s="15">
        <v>5</v>
      </c>
      <c r="C49">
        <v>450</v>
      </c>
      <c r="D49">
        <v>450</v>
      </c>
      <c r="E49">
        <f t="shared" si="0"/>
        <v>900</v>
      </c>
      <c r="F49">
        <v>135</v>
      </c>
      <c r="G49">
        <f t="shared" si="1"/>
        <v>765</v>
      </c>
      <c r="H49" s="1">
        <f t="shared" si="2"/>
        <v>0.15</v>
      </c>
    </row>
    <row r="50" spans="1:9">
      <c r="B50" s="4">
        <v>6</v>
      </c>
      <c r="C50">
        <v>1000</v>
      </c>
      <c r="D50">
        <v>1000</v>
      </c>
      <c r="E50">
        <f t="shared" si="0"/>
        <v>2000</v>
      </c>
      <c r="F50">
        <v>215</v>
      </c>
      <c r="G50">
        <f t="shared" si="1"/>
        <v>1785</v>
      </c>
      <c r="H50" s="1">
        <f t="shared" si="2"/>
        <v>0.1075</v>
      </c>
    </row>
    <row r="51" spans="1:9">
      <c r="A51" s="2">
        <v>45725</v>
      </c>
      <c r="B51" s="4">
        <v>1</v>
      </c>
      <c r="C51">
        <v>500</v>
      </c>
      <c r="D51">
        <v>500</v>
      </c>
      <c r="E51">
        <f t="shared" si="0"/>
        <v>1000</v>
      </c>
      <c r="F51">
        <v>195</v>
      </c>
      <c r="G51">
        <f t="shared" si="1"/>
        <v>805</v>
      </c>
      <c r="H51" s="1">
        <f t="shared" si="2"/>
        <v>0.19500000000000001</v>
      </c>
    </row>
    <row r="52" spans="1:9">
      <c r="B52" s="15">
        <v>2</v>
      </c>
      <c r="C52">
        <v>750</v>
      </c>
      <c r="D52">
        <v>750</v>
      </c>
      <c r="E52">
        <f t="shared" si="0"/>
        <v>1500</v>
      </c>
      <c r="F52">
        <v>205</v>
      </c>
      <c r="G52">
        <f t="shared" si="1"/>
        <v>1295</v>
      </c>
      <c r="H52" s="1">
        <f t="shared" si="2"/>
        <v>0.13666666666666666</v>
      </c>
    </row>
    <row r="53" spans="1:9">
      <c r="B53" s="4">
        <v>3</v>
      </c>
      <c r="C53">
        <v>450</v>
      </c>
      <c r="D53">
        <v>450</v>
      </c>
      <c r="E53">
        <f t="shared" si="0"/>
        <v>900</v>
      </c>
      <c r="F53">
        <v>65</v>
      </c>
      <c r="G53">
        <f t="shared" si="1"/>
        <v>835</v>
      </c>
      <c r="H53" s="1">
        <f t="shared" si="2"/>
        <v>7.2222222222222215E-2</v>
      </c>
    </row>
    <row r="54" spans="1:9">
      <c r="B54" s="15">
        <v>4</v>
      </c>
      <c r="C54">
        <v>750</v>
      </c>
      <c r="D54">
        <v>750</v>
      </c>
      <c r="E54">
        <f t="shared" si="0"/>
        <v>1500</v>
      </c>
      <c r="F54">
        <v>130</v>
      </c>
      <c r="G54">
        <f t="shared" si="1"/>
        <v>1370</v>
      </c>
      <c r="H54" s="1">
        <f t="shared" si="2"/>
        <v>8.666666666666667E-2</v>
      </c>
    </row>
    <row r="55" spans="1:9">
      <c r="B55" s="15">
        <v>5</v>
      </c>
      <c r="C55">
        <v>450</v>
      </c>
      <c r="D55">
        <v>450</v>
      </c>
      <c r="E55">
        <f t="shared" si="0"/>
        <v>900</v>
      </c>
      <c r="F55">
        <v>10</v>
      </c>
      <c r="G55">
        <f t="shared" si="1"/>
        <v>890</v>
      </c>
      <c r="H55" s="1">
        <f t="shared" si="2"/>
        <v>1.1111111111111112E-2</v>
      </c>
    </row>
    <row r="56" spans="1:9">
      <c r="B56" s="4">
        <v>6</v>
      </c>
      <c r="C56">
        <v>1000</v>
      </c>
      <c r="D56">
        <v>1000</v>
      </c>
      <c r="E56">
        <f t="shared" si="0"/>
        <v>2000</v>
      </c>
      <c r="F56">
        <v>330</v>
      </c>
      <c r="G56">
        <f t="shared" si="1"/>
        <v>1670</v>
      </c>
      <c r="H56" s="1">
        <f t="shared" si="2"/>
        <v>0.16500000000000001</v>
      </c>
    </row>
    <row r="57" spans="1:9">
      <c r="A57" s="2">
        <v>45726</v>
      </c>
      <c r="B57" s="4">
        <v>1</v>
      </c>
      <c r="C57">
        <v>450</v>
      </c>
      <c r="D57">
        <v>500</v>
      </c>
      <c r="E57">
        <f t="shared" si="0"/>
        <v>950</v>
      </c>
      <c r="F57">
        <v>20</v>
      </c>
      <c r="G57">
        <f t="shared" si="1"/>
        <v>930</v>
      </c>
      <c r="H57" s="1">
        <f t="shared" si="2"/>
        <v>2.1052631578947368E-2</v>
      </c>
    </row>
    <row r="58" spans="1:9">
      <c r="B58" s="15">
        <v>2</v>
      </c>
      <c r="C58">
        <v>650</v>
      </c>
      <c r="D58">
        <v>700</v>
      </c>
      <c r="E58">
        <f t="shared" si="0"/>
        <v>1350</v>
      </c>
      <c r="F58">
        <v>15</v>
      </c>
      <c r="G58">
        <f t="shared" si="1"/>
        <v>1335</v>
      </c>
      <c r="H58" s="1">
        <f t="shared" si="2"/>
        <v>1.1111111111111112E-2</v>
      </c>
    </row>
    <row r="59" spans="1:9">
      <c r="B59" s="4">
        <v>3</v>
      </c>
      <c r="C59">
        <v>450</v>
      </c>
      <c r="D59">
        <v>500</v>
      </c>
      <c r="E59">
        <f t="shared" si="0"/>
        <v>950</v>
      </c>
      <c r="F59">
        <v>35</v>
      </c>
      <c r="G59">
        <f t="shared" si="1"/>
        <v>915</v>
      </c>
      <c r="H59" s="1">
        <f t="shared" si="2"/>
        <v>3.6842105263157891E-2</v>
      </c>
    </row>
    <row r="60" spans="1:9">
      <c r="B60" s="15">
        <v>4</v>
      </c>
      <c r="C60">
        <v>650</v>
      </c>
      <c r="D60">
        <v>700</v>
      </c>
      <c r="E60">
        <f t="shared" si="0"/>
        <v>1350</v>
      </c>
      <c r="F60">
        <v>10</v>
      </c>
      <c r="G60">
        <f t="shared" si="1"/>
        <v>1340</v>
      </c>
      <c r="H60" s="1">
        <f t="shared" si="2"/>
        <v>7.4074074074074077E-3</v>
      </c>
    </row>
    <row r="61" spans="1:9">
      <c r="B61" s="15">
        <v>5</v>
      </c>
      <c r="C61">
        <v>450</v>
      </c>
      <c r="D61">
        <v>450</v>
      </c>
      <c r="E61">
        <f t="shared" si="0"/>
        <v>900</v>
      </c>
      <c r="F61">
        <v>5</v>
      </c>
      <c r="G61">
        <f t="shared" si="1"/>
        <v>895</v>
      </c>
      <c r="H61" s="1">
        <f t="shared" si="2"/>
        <v>5.5555555555555558E-3</v>
      </c>
    </row>
    <row r="62" spans="1:9">
      <c r="B62" s="4">
        <v>6</v>
      </c>
      <c r="C62">
        <v>900</v>
      </c>
      <c r="D62">
        <v>900</v>
      </c>
      <c r="E62">
        <f t="shared" si="0"/>
        <v>1800</v>
      </c>
      <c r="F62">
        <v>20</v>
      </c>
      <c r="G62">
        <f t="shared" si="1"/>
        <v>1780</v>
      </c>
      <c r="H62" s="1">
        <f t="shared" si="2"/>
        <v>1.1111111111111112E-2</v>
      </c>
    </row>
    <row r="63" spans="1:9">
      <c r="A63" s="2">
        <v>45727</v>
      </c>
      <c r="B63" s="4">
        <v>1</v>
      </c>
      <c r="C63">
        <v>450</v>
      </c>
      <c r="D63">
        <v>400</v>
      </c>
      <c r="E63">
        <f t="shared" si="0"/>
        <v>850</v>
      </c>
      <c r="F63">
        <v>0</v>
      </c>
      <c r="G63">
        <f t="shared" si="1"/>
        <v>850</v>
      </c>
      <c r="H63" s="1">
        <f t="shared" si="2"/>
        <v>0</v>
      </c>
      <c r="I63" t="s">
        <v>17</v>
      </c>
    </row>
    <row r="64" spans="1:9">
      <c r="B64" s="15">
        <v>2</v>
      </c>
      <c r="C64">
        <v>650</v>
      </c>
      <c r="D64">
        <v>650</v>
      </c>
      <c r="E64">
        <f t="shared" si="0"/>
        <v>1300</v>
      </c>
      <c r="F64">
        <v>0</v>
      </c>
      <c r="G64">
        <f t="shared" si="1"/>
        <v>1300</v>
      </c>
      <c r="H64" s="1">
        <f t="shared" si="2"/>
        <v>0</v>
      </c>
    </row>
    <row r="65" spans="1:8">
      <c r="B65" s="4">
        <v>3</v>
      </c>
      <c r="C65">
        <v>450</v>
      </c>
      <c r="D65">
        <v>450</v>
      </c>
      <c r="E65">
        <f t="shared" si="0"/>
        <v>900</v>
      </c>
      <c r="F65">
        <v>85</v>
      </c>
      <c r="G65">
        <f t="shared" si="1"/>
        <v>815</v>
      </c>
      <c r="H65" s="1">
        <f t="shared" si="2"/>
        <v>9.4444444444444442E-2</v>
      </c>
    </row>
    <row r="66" spans="1:8">
      <c r="B66" s="15">
        <v>4</v>
      </c>
      <c r="C66">
        <v>650</v>
      </c>
      <c r="D66">
        <v>650</v>
      </c>
      <c r="E66">
        <f t="shared" si="0"/>
        <v>1300</v>
      </c>
      <c r="F66">
        <v>0</v>
      </c>
      <c r="G66">
        <f t="shared" si="1"/>
        <v>1300</v>
      </c>
      <c r="H66" s="1">
        <f t="shared" si="2"/>
        <v>0</v>
      </c>
    </row>
    <row r="67" spans="1:8">
      <c r="B67" s="15">
        <v>5</v>
      </c>
      <c r="C67">
        <v>450</v>
      </c>
      <c r="D67">
        <v>400</v>
      </c>
      <c r="E67">
        <f t="shared" si="0"/>
        <v>850</v>
      </c>
      <c r="F67">
        <v>10</v>
      </c>
      <c r="G67">
        <f t="shared" si="1"/>
        <v>840</v>
      </c>
      <c r="H67" s="1">
        <f t="shared" si="2"/>
        <v>1.1764705882352941E-2</v>
      </c>
    </row>
    <row r="68" spans="1:8">
      <c r="B68" s="4">
        <v>6</v>
      </c>
      <c r="C68">
        <v>900</v>
      </c>
      <c r="D68">
        <v>950</v>
      </c>
      <c r="E68">
        <f t="shared" ref="E68:E188" si="3">C68+D68</f>
        <v>1850</v>
      </c>
      <c r="F68">
        <v>45</v>
      </c>
      <c r="G68">
        <f t="shared" ref="G68:G188" si="4">E68-F68</f>
        <v>1805</v>
      </c>
      <c r="H68" s="1">
        <f t="shared" ref="H68:H188" si="5">$F68/E68</f>
        <v>2.4324324324324326E-2</v>
      </c>
    </row>
    <row r="69" spans="1:8">
      <c r="A69" s="2">
        <v>45728</v>
      </c>
      <c r="B69" s="4">
        <v>1</v>
      </c>
      <c r="C69">
        <v>500</v>
      </c>
      <c r="D69">
        <v>500</v>
      </c>
      <c r="E69">
        <f t="shared" si="3"/>
        <v>1000</v>
      </c>
      <c r="F69">
        <v>50</v>
      </c>
      <c r="G69">
        <f t="shared" si="4"/>
        <v>950</v>
      </c>
      <c r="H69" s="1">
        <f t="shared" si="5"/>
        <v>0.05</v>
      </c>
    </row>
    <row r="70" spans="1:8">
      <c r="B70" s="15">
        <v>2</v>
      </c>
      <c r="C70">
        <v>700</v>
      </c>
      <c r="D70">
        <v>700</v>
      </c>
      <c r="E70">
        <f t="shared" si="3"/>
        <v>1400</v>
      </c>
      <c r="F70">
        <v>60</v>
      </c>
      <c r="G70">
        <f t="shared" si="4"/>
        <v>1340</v>
      </c>
      <c r="H70" s="1">
        <f t="shared" si="5"/>
        <v>4.2857142857142858E-2</v>
      </c>
    </row>
    <row r="71" spans="1:8">
      <c r="B71" s="4">
        <v>3</v>
      </c>
      <c r="C71">
        <v>500</v>
      </c>
      <c r="D71">
        <v>500</v>
      </c>
      <c r="E71">
        <f t="shared" si="3"/>
        <v>1000</v>
      </c>
      <c r="F71">
        <v>45</v>
      </c>
      <c r="G71">
        <f t="shared" si="4"/>
        <v>955</v>
      </c>
      <c r="H71" s="1">
        <f t="shared" si="5"/>
        <v>4.4999999999999998E-2</v>
      </c>
    </row>
    <row r="72" spans="1:8">
      <c r="B72" s="15">
        <v>4</v>
      </c>
      <c r="C72">
        <v>700</v>
      </c>
      <c r="D72">
        <v>700</v>
      </c>
      <c r="E72">
        <f t="shared" si="3"/>
        <v>1400</v>
      </c>
      <c r="F72">
        <v>30</v>
      </c>
      <c r="G72">
        <f t="shared" si="4"/>
        <v>1370</v>
      </c>
      <c r="H72" s="1">
        <f t="shared" si="5"/>
        <v>2.1428571428571429E-2</v>
      </c>
    </row>
    <row r="73" spans="1:8">
      <c r="B73" s="15">
        <v>5</v>
      </c>
      <c r="C73">
        <v>450</v>
      </c>
      <c r="D73">
        <v>450</v>
      </c>
      <c r="E73">
        <f t="shared" si="3"/>
        <v>900</v>
      </c>
      <c r="F73">
        <v>10</v>
      </c>
      <c r="G73">
        <f t="shared" si="4"/>
        <v>890</v>
      </c>
      <c r="H73" s="1">
        <f t="shared" si="5"/>
        <v>1.1111111111111112E-2</v>
      </c>
    </row>
    <row r="74" spans="1:8">
      <c r="B74" s="4">
        <v>6</v>
      </c>
      <c r="C74">
        <v>1000</v>
      </c>
      <c r="D74">
        <v>100</v>
      </c>
      <c r="E74">
        <f t="shared" si="3"/>
        <v>1100</v>
      </c>
      <c r="F74">
        <v>65</v>
      </c>
      <c r="G74">
        <f t="shared" si="4"/>
        <v>1035</v>
      </c>
      <c r="H74" s="1">
        <f t="shared" si="5"/>
        <v>5.909090909090909E-2</v>
      </c>
    </row>
    <row r="75" spans="1:8">
      <c r="A75" s="2">
        <v>45729</v>
      </c>
      <c r="B75" s="4">
        <v>1</v>
      </c>
      <c r="C75">
        <v>500</v>
      </c>
      <c r="D75">
        <v>500</v>
      </c>
      <c r="E75">
        <f t="shared" si="3"/>
        <v>1000</v>
      </c>
      <c r="F75">
        <v>120</v>
      </c>
      <c r="G75">
        <f t="shared" si="4"/>
        <v>880</v>
      </c>
      <c r="H75" s="1">
        <f t="shared" si="5"/>
        <v>0.12</v>
      </c>
    </row>
    <row r="76" spans="1:8">
      <c r="B76" s="15">
        <v>2</v>
      </c>
      <c r="C76">
        <v>700</v>
      </c>
      <c r="D76">
        <v>700</v>
      </c>
      <c r="E76">
        <f t="shared" si="3"/>
        <v>1400</v>
      </c>
      <c r="F76">
        <v>70</v>
      </c>
      <c r="G76">
        <f t="shared" si="4"/>
        <v>1330</v>
      </c>
      <c r="H76" s="1">
        <f t="shared" si="5"/>
        <v>0.05</v>
      </c>
    </row>
    <row r="77" spans="1:8">
      <c r="B77" s="4">
        <v>3</v>
      </c>
      <c r="C77">
        <v>500</v>
      </c>
      <c r="D77">
        <v>500</v>
      </c>
      <c r="E77">
        <f t="shared" si="3"/>
        <v>1000</v>
      </c>
      <c r="F77">
        <v>15</v>
      </c>
      <c r="G77">
        <f t="shared" si="4"/>
        <v>985</v>
      </c>
      <c r="H77" s="1">
        <f t="shared" si="5"/>
        <v>1.4999999999999999E-2</v>
      </c>
    </row>
    <row r="78" spans="1:8">
      <c r="B78" s="15">
        <v>4</v>
      </c>
      <c r="C78">
        <v>700</v>
      </c>
      <c r="D78">
        <v>700</v>
      </c>
      <c r="E78">
        <f t="shared" si="3"/>
        <v>1400</v>
      </c>
      <c r="F78">
        <v>90</v>
      </c>
      <c r="G78">
        <f t="shared" si="4"/>
        <v>1310</v>
      </c>
      <c r="H78" s="1">
        <f t="shared" si="5"/>
        <v>6.4285714285714279E-2</v>
      </c>
    </row>
    <row r="79" spans="1:8">
      <c r="B79" s="15">
        <v>5</v>
      </c>
      <c r="C79">
        <v>450</v>
      </c>
      <c r="D79">
        <v>450</v>
      </c>
      <c r="E79">
        <f t="shared" si="3"/>
        <v>900</v>
      </c>
      <c r="F79">
        <v>30</v>
      </c>
      <c r="G79">
        <f t="shared" si="4"/>
        <v>870</v>
      </c>
      <c r="H79" s="1">
        <f t="shared" si="5"/>
        <v>3.3333333333333333E-2</v>
      </c>
    </row>
    <row r="80" spans="1:8">
      <c r="B80" s="4">
        <v>6</v>
      </c>
      <c r="C80">
        <v>1000</v>
      </c>
      <c r="D80">
        <v>1000</v>
      </c>
      <c r="E80">
        <f t="shared" si="3"/>
        <v>2000</v>
      </c>
      <c r="F80">
        <v>75</v>
      </c>
      <c r="G80">
        <f t="shared" si="4"/>
        <v>1925</v>
      </c>
      <c r="H80" s="1">
        <f t="shared" si="5"/>
        <v>3.7499999999999999E-2</v>
      </c>
    </row>
    <row r="81" spans="1:8">
      <c r="A81" s="2">
        <v>45730</v>
      </c>
      <c r="B81" s="4">
        <v>1</v>
      </c>
      <c r="C81">
        <v>500</v>
      </c>
      <c r="D81">
        <v>500</v>
      </c>
      <c r="E81">
        <f t="shared" si="3"/>
        <v>1000</v>
      </c>
      <c r="F81">
        <v>110</v>
      </c>
      <c r="G81">
        <f t="shared" si="4"/>
        <v>890</v>
      </c>
      <c r="H81" s="1">
        <f t="shared" si="5"/>
        <v>0.11</v>
      </c>
    </row>
    <row r="82" spans="1:8">
      <c r="B82" s="15">
        <v>2</v>
      </c>
      <c r="C82">
        <v>700</v>
      </c>
      <c r="D82">
        <v>700</v>
      </c>
      <c r="E82">
        <f t="shared" si="3"/>
        <v>1400</v>
      </c>
      <c r="F82">
        <v>45</v>
      </c>
      <c r="G82">
        <f t="shared" si="4"/>
        <v>1355</v>
      </c>
      <c r="H82" s="1">
        <f t="shared" si="5"/>
        <v>3.214285714285714E-2</v>
      </c>
    </row>
    <row r="83" spans="1:8">
      <c r="B83" s="4">
        <v>3</v>
      </c>
      <c r="C83">
        <v>500</v>
      </c>
      <c r="D83">
        <v>500</v>
      </c>
      <c r="E83">
        <f t="shared" si="3"/>
        <v>1000</v>
      </c>
      <c r="F83">
        <v>80</v>
      </c>
      <c r="G83">
        <f t="shared" si="4"/>
        <v>920</v>
      </c>
      <c r="H83" s="1">
        <f t="shared" si="5"/>
        <v>0.08</v>
      </c>
    </row>
    <row r="84" spans="1:8">
      <c r="B84" s="15">
        <v>4</v>
      </c>
      <c r="C84">
        <v>700</v>
      </c>
      <c r="D84">
        <v>700</v>
      </c>
      <c r="E84">
        <f t="shared" si="3"/>
        <v>1400</v>
      </c>
      <c r="F84">
        <v>65</v>
      </c>
      <c r="G84">
        <f t="shared" si="4"/>
        <v>1335</v>
      </c>
      <c r="H84" s="1">
        <f t="shared" si="5"/>
        <v>4.642857142857143E-2</v>
      </c>
    </row>
    <row r="85" spans="1:8">
      <c r="B85" s="15">
        <v>5</v>
      </c>
      <c r="C85">
        <v>450</v>
      </c>
      <c r="D85">
        <v>450</v>
      </c>
      <c r="E85">
        <f t="shared" si="3"/>
        <v>900</v>
      </c>
      <c r="F85">
        <v>25</v>
      </c>
      <c r="G85">
        <f t="shared" si="4"/>
        <v>875</v>
      </c>
      <c r="H85" s="1">
        <f t="shared" si="5"/>
        <v>2.7777777777777776E-2</v>
      </c>
    </row>
    <row r="86" spans="1:8">
      <c r="B86" s="4">
        <v>6</v>
      </c>
      <c r="C86">
        <v>1000</v>
      </c>
      <c r="D86">
        <v>1000</v>
      </c>
      <c r="E86">
        <f t="shared" si="3"/>
        <v>2000</v>
      </c>
      <c r="F86">
        <v>70</v>
      </c>
      <c r="G86">
        <f t="shared" si="4"/>
        <v>1930</v>
      </c>
      <c r="H86" s="1">
        <f t="shared" si="5"/>
        <v>3.5000000000000003E-2</v>
      </c>
    </row>
    <row r="87" spans="1:8">
      <c r="A87" s="2">
        <v>45731</v>
      </c>
      <c r="B87" s="4">
        <v>1</v>
      </c>
      <c r="C87">
        <v>500</v>
      </c>
      <c r="D87">
        <v>500</v>
      </c>
      <c r="E87">
        <f t="shared" si="3"/>
        <v>1000</v>
      </c>
      <c r="F87">
        <v>95</v>
      </c>
      <c r="G87">
        <f t="shared" si="4"/>
        <v>905</v>
      </c>
      <c r="H87" s="1">
        <f t="shared" si="5"/>
        <v>9.5000000000000001E-2</v>
      </c>
    </row>
    <row r="88" spans="1:8">
      <c r="B88" s="15">
        <v>2</v>
      </c>
      <c r="C88">
        <v>700</v>
      </c>
      <c r="D88">
        <v>700</v>
      </c>
      <c r="E88">
        <f t="shared" si="3"/>
        <v>1400</v>
      </c>
      <c r="F88">
        <v>60</v>
      </c>
      <c r="G88">
        <f t="shared" si="4"/>
        <v>1340</v>
      </c>
      <c r="H88" s="1">
        <f t="shared" si="5"/>
        <v>4.2857142857142858E-2</v>
      </c>
    </row>
    <row r="89" spans="1:8">
      <c r="B89" s="4">
        <v>3</v>
      </c>
      <c r="C89">
        <v>500</v>
      </c>
      <c r="D89">
        <v>500</v>
      </c>
      <c r="E89">
        <f t="shared" si="3"/>
        <v>1000</v>
      </c>
      <c r="F89">
        <v>65</v>
      </c>
      <c r="G89">
        <f t="shared" si="4"/>
        <v>935</v>
      </c>
      <c r="H89" s="1">
        <f t="shared" si="5"/>
        <v>6.5000000000000002E-2</v>
      </c>
    </row>
    <row r="90" spans="1:8">
      <c r="B90" s="15">
        <v>4</v>
      </c>
      <c r="C90">
        <v>700</v>
      </c>
      <c r="D90">
        <v>700</v>
      </c>
      <c r="E90">
        <f t="shared" si="3"/>
        <v>1400</v>
      </c>
      <c r="F90">
        <v>80</v>
      </c>
      <c r="G90">
        <f t="shared" si="4"/>
        <v>1320</v>
      </c>
      <c r="H90" s="1">
        <f t="shared" si="5"/>
        <v>5.7142857142857141E-2</v>
      </c>
    </row>
    <row r="91" spans="1:8">
      <c r="B91" s="15">
        <v>5</v>
      </c>
      <c r="C91">
        <v>450</v>
      </c>
      <c r="D91">
        <v>450</v>
      </c>
      <c r="E91">
        <f t="shared" si="3"/>
        <v>900</v>
      </c>
      <c r="F91">
        <v>40</v>
      </c>
      <c r="G91">
        <f t="shared" si="4"/>
        <v>860</v>
      </c>
      <c r="H91" s="1">
        <f t="shared" si="5"/>
        <v>4.4444444444444446E-2</v>
      </c>
    </row>
    <row r="92" spans="1:8">
      <c r="B92" s="4">
        <v>6</v>
      </c>
      <c r="C92">
        <v>900</v>
      </c>
      <c r="D92">
        <v>1000</v>
      </c>
      <c r="E92">
        <f t="shared" si="3"/>
        <v>1900</v>
      </c>
      <c r="F92">
        <v>55</v>
      </c>
      <c r="G92">
        <f t="shared" si="4"/>
        <v>1845</v>
      </c>
      <c r="H92" s="1">
        <f t="shared" si="5"/>
        <v>2.8947368421052631E-2</v>
      </c>
    </row>
    <row r="93" spans="1:8">
      <c r="A93" s="2">
        <v>45732</v>
      </c>
      <c r="B93" s="4">
        <v>1</v>
      </c>
      <c r="C93">
        <v>500</v>
      </c>
      <c r="D93">
        <v>500</v>
      </c>
      <c r="E93">
        <f t="shared" si="3"/>
        <v>1000</v>
      </c>
      <c r="F93">
        <v>120</v>
      </c>
      <c r="G93">
        <f t="shared" si="4"/>
        <v>880</v>
      </c>
      <c r="H93" s="1">
        <f t="shared" si="5"/>
        <v>0.12</v>
      </c>
    </row>
    <row r="94" spans="1:8">
      <c r="B94" s="15">
        <v>2</v>
      </c>
      <c r="C94">
        <v>700</v>
      </c>
      <c r="D94">
        <v>700</v>
      </c>
      <c r="E94">
        <f t="shared" si="3"/>
        <v>1400</v>
      </c>
      <c r="F94">
        <v>80</v>
      </c>
      <c r="G94">
        <f t="shared" si="4"/>
        <v>1320</v>
      </c>
      <c r="H94" s="1">
        <f t="shared" si="5"/>
        <v>5.7142857142857141E-2</v>
      </c>
    </row>
    <row r="95" spans="1:8">
      <c r="B95" s="4">
        <v>3</v>
      </c>
      <c r="C95">
        <v>500</v>
      </c>
      <c r="D95">
        <v>500</v>
      </c>
      <c r="E95">
        <f t="shared" si="3"/>
        <v>1000</v>
      </c>
      <c r="F95">
        <v>130</v>
      </c>
      <c r="G95">
        <f t="shared" si="4"/>
        <v>870</v>
      </c>
      <c r="H95" s="1">
        <f t="shared" si="5"/>
        <v>0.13</v>
      </c>
    </row>
    <row r="96" spans="1:8">
      <c r="B96" s="15">
        <v>4</v>
      </c>
      <c r="C96">
        <v>700</v>
      </c>
      <c r="D96">
        <v>700</v>
      </c>
      <c r="E96">
        <f t="shared" si="3"/>
        <v>1400</v>
      </c>
      <c r="F96">
        <v>170</v>
      </c>
      <c r="G96">
        <f t="shared" si="4"/>
        <v>1230</v>
      </c>
      <c r="H96" s="1">
        <f t="shared" si="5"/>
        <v>0.12142857142857143</v>
      </c>
    </row>
    <row r="97" spans="1:8">
      <c r="B97" s="15">
        <v>5</v>
      </c>
      <c r="C97">
        <v>450</v>
      </c>
      <c r="D97">
        <v>450</v>
      </c>
      <c r="E97">
        <f t="shared" si="3"/>
        <v>900</v>
      </c>
      <c r="F97">
        <v>0</v>
      </c>
      <c r="G97">
        <f t="shared" si="4"/>
        <v>900</v>
      </c>
      <c r="H97" s="1">
        <f t="shared" si="5"/>
        <v>0</v>
      </c>
    </row>
    <row r="98" spans="1:8">
      <c r="B98" s="4">
        <v>6</v>
      </c>
      <c r="C98">
        <v>900</v>
      </c>
      <c r="D98">
        <v>900</v>
      </c>
      <c r="E98">
        <f t="shared" si="3"/>
        <v>1800</v>
      </c>
      <c r="F98">
        <v>80</v>
      </c>
      <c r="G98">
        <f t="shared" si="4"/>
        <v>1720</v>
      </c>
      <c r="H98" s="1">
        <f t="shared" si="5"/>
        <v>4.4444444444444446E-2</v>
      </c>
    </row>
    <row r="99" spans="1:8">
      <c r="A99" s="2">
        <v>45733</v>
      </c>
      <c r="B99" s="4">
        <v>1</v>
      </c>
      <c r="C99">
        <v>500</v>
      </c>
      <c r="D99">
        <v>500</v>
      </c>
      <c r="E99">
        <f t="shared" si="3"/>
        <v>1000</v>
      </c>
      <c r="F99">
        <v>50</v>
      </c>
      <c r="G99">
        <f t="shared" si="4"/>
        <v>950</v>
      </c>
      <c r="H99" s="1">
        <f t="shared" si="5"/>
        <v>0.05</v>
      </c>
    </row>
    <row r="100" spans="1:8">
      <c r="B100" s="15">
        <v>2</v>
      </c>
      <c r="C100">
        <v>700</v>
      </c>
      <c r="D100">
        <v>700</v>
      </c>
      <c r="E100">
        <f t="shared" si="3"/>
        <v>1400</v>
      </c>
      <c r="F100">
        <v>90</v>
      </c>
      <c r="G100">
        <f t="shared" si="4"/>
        <v>1310</v>
      </c>
      <c r="H100" s="1">
        <f t="shared" si="5"/>
        <v>6.4285714285714279E-2</v>
      </c>
    </row>
    <row r="101" spans="1:8">
      <c r="B101" s="4">
        <v>3</v>
      </c>
      <c r="C101">
        <v>450</v>
      </c>
      <c r="D101">
        <v>500</v>
      </c>
      <c r="E101">
        <f t="shared" si="3"/>
        <v>950</v>
      </c>
      <c r="F101">
        <v>75</v>
      </c>
      <c r="G101">
        <f t="shared" si="4"/>
        <v>875</v>
      </c>
      <c r="H101" s="1">
        <f t="shared" si="5"/>
        <v>7.8947368421052627E-2</v>
      </c>
    </row>
    <row r="102" spans="1:8">
      <c r="B102" s="15">
        <v>4</v>
      </c>
      <c r="C102">
        <v>700</v>
      </c>
      <c r="D102">
        <v>700</v>
      </c>
      <c r="E102">
        <f t="shared" si="3"/>
        <v>1400</v>
      </c>
      <c r="F102">
        <v>20</v>
      </c>
      <c r="G102">
        <f t="shared" si="4"/>
        <v>1380</v>
      </c>
      <c r="H102" s="1">
        <f t="shared" si="5"/>
        <v>1.4285714285714285E-2</v>
      </c>
    </row>
    <row r="103" spans="1:8">
      <c r="B103" s="15">
        <v>5</v>
      </c>
      <c r="C103">
        <v>450</v>
      </c>
      <c r="D103">
        <v>450</v>
      </c>
      <c r="E103">
        <f t="shared" si="3"/>
        <v>900</v>
      </c>
      <c r="F103">
        <v>75</v>
      </c>
      <c r="G103">
        <f t="shared" si="4"/>
        <v>825</v>
      </c>
      <c r="H103" s="1">
        <f t="shared" si="5"/>
        <v>8.3333333333333329E-2</v>
      </c>
    </row>
    <row r="104" spans="1:8">
      <c r="B104" s="4">
        <v>6</v>
      </c>
      <c r="C104">
        <v>1000</v>
      </c>
      <c r="D104">
        <v>1000</v>
      </c>
      <c r="E104">
        <f t="shared" si="3"/>
        <v>2000</v>
      </c>
      <c r="F104">
        <v>0</v>
      </c>
      <c r="G104">
        <f t="shared" si="4"/>
        <v>2000</v>
      </c>
      <c r="H104" s="1">
        <f t="shared" si="5"/>
        <v>0</v>
      </c>
    </row>
    <row r="105" spans="1:8">
      <c r="A105" s="2">
        <v>45734</v>
      </c>
      <c r="B105" s="4">
        <v>1</v>
      </c>
      <c r="C105">
        <v>500</v>
      </c>
      <c r="D105">
        <v>500</v>
      </c>
      <c r="E105">
        <f t="shared" si="3"/>
        <v>1000</v>
      </c>
      <c r="F105">
        <v>75</v>
      </c>
      <c r="G105">
        <f t="shared" si="4"/>
        <v>925</v>
      </c>
      <c r="H105" s="1">
        <f t="shared" si="5"/>
        <v>7.4999999999999997E-2</v>
      </c>
    </row>
    <row r="106" spans="1:8">
      <c r="B106" s="15">
        <v>2</v>
      </c>
      <c r="C106">
        <v>700</v>
      </c>
      <c r="D106">
        <v>700</v>
      </c>
      <c r="E106">
        <f t="shared" si="3"/>
        <v>1400</v>
      </c>
      <c r="F106">
        <v>0</v>
      </c>
      <c r="G106">
        <f t="shared" si="4"/>
        <v>1400</v>
      </c>
      <c r="H106" s="1">
        <f t="shared" si="5"/>
        <v>0</v>
      </c>
    </row>
    <row r="107" spans="1:8">
      <c r="B107" s="4">
        <v>3</v>
      </c>
      <c r="C107">
        <v>450</v>
      </c>
      <c r="D107">
        <v>400</v>
      </c>
      <c r="E107">
        <f t="shared" si="3"/>
        <v>850</v>
      </c>
      <c r="F107">
        <v>0</v>
      </c>
      <c r="G107">
        <f t="shared" si="4"/>
        <v>850</v>
      </c>
      <c r="H107" s="1">
        <f t="shared" si="5"/>
        <v>0</v>
      </c>
    </row>
    <row r="108" spans="1:8">
      <c r="B108" s="15">
        <v>4</v>
      </c>
      <c r="C108">
        <v>700</v>
      </c>
      <c r="D108">
        <v>700</v>
      </c>
      <c r="E108">
        <f t="shared" si="3"/>
        <v>1400</v>
      </c>
      <c r="F108">
        <v>0</v>
      </c>
      <c r="G108">
        <f t="shared" si="4"/>
        <v>1400</v>
      </c>
      <c r="H108" s="1">
        <f t="shared" si="5"/>
        <v>0</v>
      </c>
    </row>
    <row r="109" spans="1:8">
      <c r="B109" s="15">
        <v>5</v>
      </c>
      <c r="C109">
        <v>450</v>
      </c>
      <c r="D109">
        <v>450</v>
      </c>
      <c r="E109">
        <f t="shared" si="3"/>
        <v>900</v>
      </c>
      <c r="F109">
        <v>0</v>
      </c>
      <c r="G109">
        <f t="shared" si="4"/>
        <v>900</v>
      </c>
      <c r="H109" s="1">
        <f t="shared" si="5"/>
        <v>0</v>
      </c>
    </row>
    <row r="110" spans="1:8">
      <c r="B110" s="4">
        <v>6</v>
      </c>
      <c r="C110">
        <v>1000</v>
      </c>
      <c r="D110">
        <v>1000</v>
      </c>
      <c r="E110">
        <f t="shared" si="3"/>
        <v>2000</v>
      </c>
      <c r="F110">
        <v>0</v>
      </c>
      <c r="G110">
        <f t="shared" si="4"/>
        <v>2000</v>
      </c>
      <c r="H110" s="1">
        <f t="shared" si="5"/>
        <v>0</v>
      </c>
    </row>
    <row r="111" spans="1:8">
      <c r="A111" s="2">
        <v>45735</v>
      </c>
      <c r="B111" s="4">
        <v>1</v>
      </c>
      <c r="C111">
        <v>500</v>
      </c>
      <c r="D111">
        <v>500</v>
      </c>
      <c r="E111">
        <f t="shared" si="3"/>
        <v>1000</v>
      </c>
      <c r="F111">
        <v>110</v>
      </c>
      <c r="G111">
        <f t="shared" si="4"/>
        <v>890</v>
      </c>
      <c r="H111" s="1">
        <f t="shared" si="5"/>
        <v>0.11</v>
      </c>
    </row>
    <row r="112" spans="1:8">
      <c r="B112" s="15">
        <v>2</v>
      </c>
      <c r="C112">
        <v>700</v>
      </c>
      <c r="D112">
        <v>700</v>
      </c>
      <c r="E112">
        <f t="shared" si="3"/>
        <v>1400</v>
      </c>
      <c r="F112">
        <v>45</v>
      </c>
      <c r="G112">
        <f t="shared" si="4"/>
        <v>1355</v>
      </c>
      <c r="H112" s="1">
        <f t="shared" si="5"/>
        <v>3.214285714285714E-2</v>
      </c>
    </row>
    <row r="113" spans="1:8">
      <c r="B113" s="4">
        <v>3</v>
      </c>
      <c r="C113">
        <v>500</v>
      </c>
      <c r="D113">
        <v>500</v>
      </c>
      <c r="E113">
        <f t="shared" si="3"/>
        <v>1000</v>
      </c>
      <c r="F113">
        <v>30</v>
      </c>
      <c r="G113">
        <f t="shared" si="4"/>
        <v>970</v>
      </c>
      <c r="H113" s="1">
        <f t="shared" si="5"/>
        <v>0.03</v>
      </c>
    </row>
    <row r="114" spans="1:8">
      <c r="B114" s="15">
        <v>4</v>
      </c>
      <c r="C114">
        <v>700</v>
      </c>
      <c r="D114">
        <v>700</v>
      </c>
      <c r="E114">
        <f t="shared" si="3"/>
        <v>1400</v>
      </c>
      <c r="F114">
        <v>70</v>
      </c>
      <c r="G114">
        <f t="shared" si="4"/>
        <v>1330</v>
      </c>
      <c r="H114" s="1">
        <f t="shared" si="5"/>
        <v>0.05</v>
      </c>
    </row>
    <row r="115" spans="1:8">
      <c r="B115" s="15">
        <v>5</v>
      </c>
      <c r="C115">
        <v>450</v>
      </c>
      <c r="D115">
        <v>450</v>
      </c>
      <c r="E115">
        <f t="shared" si="3"/>
        <v>900</v>
      </c>
      <c r="F115">
        <v>90</v>
      </c>
      <c r="G115">
        <f t="shared" si="4"/>
        <v>810</v>
      </c>
      <c r="H115" s="1">
        <f t="shared" si="5"/>
        <v>0.1</v>
      </c>
    </row>
    <row r="116" spans="1:8">
      <c r="B116" s="4">
        <v>6</v>
      </c>
      <c r="C116">
        <v>1000</v>
      </c>
      <c r="D116">
        <v>1000</v>
      </c>
      <c r="E116">
        <f t="shared" si="3"/>
        <v>2000</v>
      </c>
      <c r="F116">
        <v>75</v>
      </c>
      <c r="G116">
        <f t="shared" si="4"/>
        <v>1925</v>
      </c>
      <c r="H116" s="1">
        <f t="shared" si="5"/>
        <v>3.7499999999999999E-2</v>
      </c>
    </row>
    <row r="117" spans="1:8">
      <c r="A117" s="2">
        <v>45736</v>
      </c>
      <c r="B117" s="4">
        <v>1</v>
      </c>
      <c r="C117">
        <v>500</v>
      </c>
      <c r="D117">
        <v>500</v>
      </c>
      <c r="E117">
        <f t="shared" si="3"/>
        <v>1000</v>
      </c>
      <c r="F117">
        <v>95</v>
      </c>
      <c r="G117">
        <f t="shared" si="4"/>
        <v>905</v>
      </c>
      <c r="H117" s="1">
        <f t="shared" si="5"/>
        <v>9.5000000000000001E-2</v>
      </c>
    </row>
    <row r="118" spans="1:8">
      <c r="B118" s="15">
        <v>2</v>
      </c>
      <c r="C118">
        <v>700</v>
      </c>
      <c r="D118">
        <v>700</v>
      </c>
      <c r="E118">
        <f t="shared" si="3"/>
        <v>1400</v>
      </c>
      <c r="F118">
        <v>60</v>
      </c>
      <c r="G118">
        <f t="shared" si="4"/>
        <v>1340</v>
      </c>
      <c r="H118" s="1">
        <f t="shared" si="5"/>
        <v>4.2857142857142858E-2</v>
      </c>
    </row>
    <row r="119" spans="1:8">
      <c r="B119" s="4">
        <v>3</v>
      </c>
      <c r="C119">
        <v>500</v>
      </c>
      <c r="D119">
        <v>500</v>
      </c>
      <c r="E119">
        <f t="shared" si="3"/>
        <v>1000</v>
      </c>
      <c r="F119">
        <v>55</v>
      </c>
      <c r="G119">
        <f t="shared" si="4"/>
        <v>945</v>
      </c>
      <c r="H119" s="1">
        <f t="shared" si="5"/>
        <v>5.5E-2</v>
      </c>
    </row>
    <row r="120" spans="1:8">
      <c r="B120" s="15">
        <v>4</v>
      </c>
      <c r="C120">
        <v>700</v>
      </c>
      <c r="D120">
        <v>700</v>
      </c>
      <c r="E120">
        <f t="shared" si="3"/>
        <v>1400</v>
      </c>
      <c r="F120">
        <v>75</v>
      </c>
      <c r="G120">
        <f t="shared" si="4"/>
        <v>1325</v>
      </c>
      <c r="H120" s="1">
        <f t="shared" si="5"/>
        <v>5.3571428571428568E-2</v>
      </c>
    </row>
    <row r="121" spans="1:8">
      <c r="B121" s="15">
        <v>5</v>
      </c>
      <c r="C121">
        <v>450</v>
      </c>
      <c r="D121">
        <v>425</v>
      </c>
      <c r="E121">
        <f t="shared" si="3"/>
        <v>875</v>
      </c>
      <c r="F121">
        <v>50</v>
      </c>
      <c r="G121">
        <f t="shared" si="4"/>
        <v>825</v>
      </c>
      <c r="H121" s="1">
        <f t="shared" si="5"/>
        <v>5.7142857142857141E-2</v>
      </c>
    </row>
    <row r="122" spans="1:8">
      <c r="B122" s="4">
        <v>6</v>
      </c>
      <c r="C122">
        <v>1000</v>
      </c>
      <c r="D122">
        <v>1000</v>
      </c>
      <c r="E122">
        <f t="shared" si="3"/>
        <v>2000</v>
      </c>
      <c r="F122">
        <v>115</v>
      </c>
      <c r="G122">
        <f t="shared" si="4"/>
        <v>1885</v>
      </c>
      <c r="H122" s="1">
        <f t="shared" si="5"/>
        <v>5.7500000000000002E-2</v>
      </c>
    </row>
    <row r="123" spans="1:8">
      <c r="A123" s="2">
        <v>45737</v>
      </c>
      <c r="B123" s="4">
        <v>1</v>
      </c>
      <c r="C123">
        <v>500</v>
      </c>
      <c r="D123">
        <v>500</v>
      </c>
      <c r="E123">
        <f t="shared" si="3"/>
        <v>1000</v>
      </c>
      <c r="F123">
        <v>95</v>
      </c>
      <c r="G123">
        <f t="shared" si="4"/>
        <v>905</v>
      </c>
      <c r="H123" s="1">
        <f t="shared" si="5"/>
        <v>9.5000000000000001E-2</v>
      </c>
    </row>
    <row r="124" spans="1:8">
      <c r="B124" s="15">
        <v>2</v>
      </c>
      <c r="C124">
        <v>700</v>
      </c>
      <c r="D124">
        <v>700</v>
      </c>
      <c r="E124">
        <f t="shared" si="3"/>
        <v>1400</v>
      </c>
      <c r="F124">
        <v>60</v>
      </c>
      <c r="G124">
        <f t="shared" si="4"/>
        <v>1340</v>
      </c>
      <c r="H124" s="1">
        <f t="shared" si="5"/>
        <v>4.2857142857142858E-2</v>
      </c>
    </row>
    <row r="125" spans="1:8">
      <c r="B125" s="4">
        <v>3</v>
      </c>
      <c r="C125">
        <v>500</v>
      </c>
      <c r="D125">
        <v>500</v>
      </c>
      <c r="E125">
        <f t="shared" si="3"/>
        <v>1000</v>
      </c>
      <c r="F125">
        <v>40</v>
      </c>
      <c r="G125">
        <f t="shared" si="4"/>
        <v>960</v>
      </c>
      <c r="H125" s="1">
        <f t="shared" si="5"/>
        <v>0.04</v>
      </c>
    </row>
    <row r="126" spans="1:8">
      <c r="B126" s="15">
        <v>4</v>
      </c>
      <c r="C126">
        <v>700</v>
      </c>
      <c r="D126">
        <v>700</v>
      </c>
      <c r="E126">
        <f t="shared" si="3"/>
        <v>1400</v>
      </c>
      <c r="F126">
        <v>60</v>
      </c>
      <c r="G126">
        <f t="shared" si="4"/>
        <v>1340</v>
      </c>
      <c r="H126" s="1">
        <f t="shared" si="5"/>
        <v>4.2857142857142858E-2</v>
      </c>
    </row>
    <row r="127" spans="1:8">
      <c r="B127" s="15">
        <v>5</v>
      </c>
      <c r="C127">
        <v>450</v>
      </c>
      <c r="D127">
        <v>450</v>
      </c>
      <c r="E127">
        <f t="shared" si="3"/>
        <v>900</v>
      </c>
      <c r="F127">
        <v>55</v>
      </c>
      <c r="G127">
        <f t="shared" si="4"/>
        <v>845</v>
      </c>
      <c r="H127" s="1">
        <f t="shared" si="5"/>
        <v>6.1111111111111109E-2</v>
      </c>
    </row>
    <row r="128" spans="1:8">
      <c r="B128" s="4">
        <v>6</v>
      </c>
      <c r="C128">
        <v>900</v>
      </c>
      <c r="D128">
        <v>1000</v>
      </c>
      <c r="E128">
        <f t="shared" si="3"/>
        <v>1900</v>
      </c>
      <c r="F128">
        <v>115</v>
      </c>
      <c r="G128">
        <f t="shared" si="4"/>
        <v>1785</v>
      </c>
      <c r="H128" s="1">
        <f t="shared" si="5"/>
        <v>6.0526315789473685E-2</v>
      </c>
    </row>
    <row r="129" spans="1:8">
      <c r="A129" s="2">
        <v>45738</v>
      </c>
      <c r="B129" s="4">
        <v>1</v>
      </c>
      <c r="C129">
        <v>500</v>
      </c>
      <c r="D129">
        <v>500</v>
      </c>
      <c r="E129">
        <f t="shared" si="3"/>
        <v>1000</v>
      </c>
      <c r="F129">
        <v>70</v>
      </c>
      <c r="G129">
        <f t="shared" si="4"/>
        <v>930</v>
      </c>
      <c r="H129" s="1">
        <f t="shared" si="5"/>
        <v>7.0000000000000007E-2</v>
      </c>
    </row>
    <row r="130" spans="1:8">
      <c r="B130" s="15">
        <v>2</v>
      </c>
      <c r="C130">
        <v>700</v>
      </c>
      <c r="D130">
        <v>700</v>
      </c>
      <c r="E130">
        <f t="shared" si="3"/>
        <v>1400</v>
      </c>
      <c r="F130">
        <v>45</v>
      </c>
      <c r="G130">
        <f t="shared" si="4"/>
        <v>1355</v>
      </c>
      <c r="H130" s="1">
        <f t="shared" si="5"/>
        <v>3.214285714285714E-2</v>
      </c>
    </row>
    <row r="131" spans="1:8">
      <c r="B131" s="4">
        <v>3</v>
      </c>
      <c r="C131">
        <v>500</v>
      </c>
      <c r="D131">
        <v>550</v>
      </c>
      <c r="E131">
        <f t="shared" si="3"/>
        <v>1050</v>
      </c>
      <c r="F131">
        <v>50</v>
      </c>
      <c r="G131">
        <f t="shared" si="4"/>
        <v>1000</v>
      </c>
      <c r="H131" s="1">
        <f t="shared" si="5"/>
        <v>4.7619047619047616E-2</v>
      </c>
    </row>
    <row r="132" spans="1:8">
      <c r="B132" s="15">
        <v>4</v>
      </c>
      <c r="C132">
        <v>700</v>
      </c>
      <c r="D132">
        <v>700</v>
      </c>
      <c r="E132">
        <f t="shared" si="3"/>
        <v>1400</v>
      </c>
      <c r="F132">
        <v>90</v>
      </c>
      <c r="G132">
        <f t="shared" si="4"/>
        <v>1310</v>
      </c>
      <c r="H132" s="1">
        <f t="shared" si="5"/>
        <v>6.4285714285714279E-2</v>
      </c>
    </row>
    <row r="133" spans="1:8">
      <c r="B133" s="15">
        <v>5</v>
      </c>
      <c r="C133">
        <v>450</v>
      </c>
      <c r="D133">
        <v>450</v>
      </c>
      <c r="E133">
        <f t="shared" si="3"/>
        <v>900</v>
      </c>
      <c r="F133">
        <v>0</v>
      </c>
      <c r="G133">
        <f t="shared" si="4"/>
        <v>900</v>
      </c>
      <c r="H133" s="1">
        <f t="shared" si="5"/>
        <v>0</v>
      </c>
    </row>
    <row r="134" spans="1:8">
      <c r="B134" s="4">
        <v>6</v>
      </c>
      <c r="C134">
        <v>1000</v>
      </c>
      <c r="D134">
        <v>1000</v>
      </c>
      <c r="E134">
        <f t="shared" si="3"/>
        <v>2000</v>
      </c>
      <c r="F134">
        <v>110</v>
      </c>
      <c r="G134">
        <f t="shared" si="4"/>
        <v>1890</v>
      </c>
      <c r="H134" s="1">
        <f t="shared" si="5"/>
        <v>5.5E-2</v>
      </c>
    </row>
    <row r="135" spans="1:8">
      <c r="A135" s="2">
        <v>45739</v>
      </c>
      <c r="B135" s="4">
        <v>1</v>
      </c>
      <c r="C135">
        <v>500</v>
      </c>
      <c r="D135">
        <v>500</v>
      </c>
      <c r="E135">
        <f t="shared" si="3"/>
        <v>1000</v>
      </c>
      <c r="F135">
        <v>125</v>
      </c>
      <c r="G135">
        <f t="shared" si="4"/>
        <v>875</v>
      </c>
      <c r="H135" s="1">
        <f t="shared" si="5"/>
        <v>0.125</v>
      </c>
    </row>
    <row r="136" spans="1:8">
      <c r="B136" s="15">
        <v>2</v>
      </c>
      <c r="C136">
        <v>700</v>
      </c>
      <c r="D136">
        <v>700</v>
      </c>
      <c r="E136">
        <f t="shared" si="3"/>
        <v>1400</v>
      </c>
      <c r="F136">
        <v>95</v>
      </c>
      <c r="G136">
        <f t="shared" si="4"/>
        <v>1305</v>
      </c>
      <c r="H136" s="1">
        <f t="shared" si="5"/>
        <v>6.7857142857142852E-2</v>
      </c>
    </row>
    <row r="137" spans="1:8">
      <c r="B137" s="4">
        <v>3</v>
      </c>
      <c r="C137">
        <v>500</v>
      </c>
      <c r="D137">
        <v>500</v>
      </c>
      <c r="E137">
        <f t="shared" si="3"/>
        <v>1000</v>
      </c>
      <c r="F137">
        <v>115</v>
      </c>
      <c r="G137">
        <f t="shared" si="4"/>
        <v>885</v>
      </c>
      <c r="H137" s="1">
        <f t="shared" si="5"/>
        <v>0.115</v>
      </c>
    </row>
    <row r="138" spans="1:8">
      <c r="B138" s="15">
        <v>4</v>
      </c>
      <c r="C138">
        <v>700</v>
      </c>
      <c r="D138">
        <v>700</v>
      </c>
      <c r="E138">
        <f t="shared" si="3"/>
        <v>1400</v>
      </c>
      <c r="F138">
        <v>105</v>
      </c>
      <c r="G138">
        <f t="shared" si="4"/>
        <v>1295</v>
      </c>
      <c r="H138" s="1">
        <f t="shared" si="5"/>
        <v>7.4999999999999997E-2</v>
      </c>
    </row>
    <row r="139" spans="1:8">
      <c r="B139" s="15">
        <v>5</v>
      </c>
      <c r="C139">
        <v>450</v>
      </c>
      <c r="D139">
        <v>450</v>
      </c>
      <c r="E139">
        <f t="shared" si="3"/>
        <v>900</v>
      </c>
      <c r="F139">
        <v>60</v>
      </c>
      <c r="G139">
        <f t="shared" si="4"/>
        <v>840</v>
      </c>
      <c r="H139" s="1">
        <f t="shared" si="5"/>
        <v>6.6666666666666666E-2</v>
      </c>
    </row>
    <row r="140" spans="1:8">
      <c r="B140" s="4">
        <v>6</v>
      </c>
      <c r="C140">
        <v>1000</v>
      </c>
      <c r="D140">
        <v>1000</v>
      </c>
      <c r="E140">
        <f t="shared" si="3"/>
        <v>2000</v>
      </c>
      <c r="F140">
        <v>270</v>
      </c>
      <c r="G140">
        <f t="shared" si="4"/>
        <v>1730</v>
      </c>
      <c r="H140" s="1">
        <f t="shared" si="5"/>
        <v>0.13500000000000001</v>
      </c>
    </row>
    <row r="141" spans="1:8">
      <c r="A141" s="2">
        <v>45740</v>
      </c>
      <c r="B141" s="4">
        <v>1</v>
      </c>
      <c r="C141">
        <v>500</v>
      </c>
      <c r="D141">
        <v>500</v>
      </c>
      <c r="E141">
        <f t="shared" si="3"/>
        <v>1000</v>
      </c>
      <c r="F141">
        <v>100</v>
      </c>
      <c r="G141">
        <f t="shared" si="4"/>
        <v>900</v>
      </c>
      <c r="H141" s="1">
        <f t="shared" si="5"/>
        <v>0.1</v>
      </c>
    </row>
    <row r="142" spans="1:8">
      <c r="B142" s="15">
        <v>2</v>
      </c>
      <c r="C142">
        <v>700</v>
      </c>
      <c r="D142">
        <v>700</v>
      </c>
      <c r="E142">
        <f t="shared" si="3"/>
        <v>1400</v>
      </c>
      <c r="F142">
        <v>80</v>
      </c>
      <c r="G142">
        <f t="shared" si="4"/>
        <v>1320</v>
      </c>
      <c r="H142" s="1">
        <f t="shared" si="5"/>
        <v>5.7142857142857141E-2</v>
      </c>
    </row>
    <row r="143" spans="1:8">
      <c r="B143" s="4">
        <v>3</v>
      </c>
      <c r="C143">
        <v>500</v>
      </c>
      <c r="D143">
        <v>500</v>
      </c>
      <c r="E143">
        <f t="shared" si="3"/>
        <v>1000</v>
      </c>
      <c r="F143">
        <v>60</v>
      </c>
      <c r="G143">
        <f t="shared" si="4"/>
        <v>940</v>
      </c>
      <c r="H143" s="1">
        <f t="shared" si="5"/>
        <v>0.06</v>
      </c>
    </row>
    <row r="144" spans="1:8">
      <c r="B144" s="15">
        <v>4</v>
      </c>
      <c r="C144">
        <v>700</v>
      </c>
      <c r="D144">
        <v>700</v>
      </c>
      <c r="E144">
        <f t="shared" si="3"/>
        <v>1400</v>
      </c>
      <c r="F144">
        <v>55</v>
      </c>
      <c r="G144">
        <f t="shared" si="4"/>
        <v>1345</v>
      </c>
      <c r="H144" s="1">
        <f t="shared" si="5"/>
        <v>3.9285714285714285E-2</v>
      </c>
    </row>
    <row r="145" spans="1:8">
      <c r="B145" s="15">
        <v>5</v>
      </c>
      <c r="C145">
        <v>450</v>
      </c>
      <c r="D145">
        <v>450</v>
      </c>
      <c r="E145">
        <f t="shared" si="3"/>
        <v>900</v>
      </c>
      <c r="F145">
        <v>30</v>
      </c>
      <c r="G145">
        <f t="shared" si="4"/>
        <v>870</v>
      </c>
      <c r="H145" s="1">
        <f t="shared" si="5"/>
        <v>3.3333333333333333E-2</v>
      </c>
    </row>
    <row r="146" spans="1:8">
      <c r="B146" s="4">
        <v>6</v>
      </c>
      <c r="C146">
        <v>900</v>
      </c>
      <c r="D146">
        <v>900</v>
      </c>
      <c r="E146">
        <f t="shared" si="3"/>
        <v>1800</v>
      </c>
      <c r="F146">
        <v>200</v>
      </c>
      <c r="G146">
        <f t="shared" si="4"/>
        <v>1600</v>
      </c>
      <c r="H146" s="1">
        <f t="shared" si="5"/>
        <v>0.1111111111111111</v>
      </c>
    </row>
    <row r="147" spans="1:8">
      <c r="A147" s="2">
        <v>45741</v>
      </c>
      <c r="B147" s="4">
        <v>1</v>
      </c>
      <c r="C147">
        <v>500</v>
      </c>
      <c r="D147">
        <v>500</v>
      </c>
      <c r="E147">
        <f t="shared" si="3"/>
        <v>1000</v>
      </c>
      <c r="F147">
        <v>85</v>
      </c>
      <c r="G147">
        <f t="shared" si="4"/>
        <v>915</v>
      </c>
      <c r="H147" s="1">
        <f t="shared" si="5"/>
        <v>8.5000000000000006E-2</v>
      </c>
    </row>
    <row r="148" spans="1:8">
      <c r="B148" s="15">
        <v>2</v>
      </c>
      <c r="C148">
        <v>700</v>
      </c>
      <c r="D148">
        <v>700</v>
      </c>
      <c r="E148">
        <f t="shared" si="3"/>
        <v>1400</v>
      </c>
      <c r="F148">
        <v>15</v>
      </c>
      <c r="G148">
        <f t="shared" si="4"/>
        <v>1385</v>
      </c>
      <c r="H148" s="1">
        <f t="shared" si="5"/>
        <v>1.0714285714285714E-2</v>
      </c>
    </row>
    <row r="149" spans="1:8">
      <c r="B149" s="4">
        <v>3</v>
      </c>
      <c r="C149">
        <v>500</v>
      </c>
      <c r="D149">
        <v>400</v>
      </c>
      <c r="E149">
        <f t="shared" si="3"/>
        <v>900</v>
      </c>
      <c r="F149">
        <v>95</v>
      </c>
      <c r="G149">
        <f t="shared" si="4"/>
        <v>805</v>
      </c>
      <c r="H149" s="1">
        <f t="shared" si="5"/>
        <v>0.10555555555555556</v>
      </c>
    </row>
    <row r="150" spans="1:8">
      <c r="B150" s="15">
        <v>4</v>
      </c>
      <c r="C150">
        <v>700</v>
      </c>
      <c r="D150">
        <v>700</v>
      </c>
      <c r="E150">
        <f t="shared" si="3"/>
        <v>1400</v>
      </c>
      <c r="F150">
        <v>25</v>
      </c>
      <c r="G150">
        <f t="shared" si="4"/>
        <v>1375</v>
      </c>
      <c r="H150" s="1">
        <f t="shared" si="5"/>
        <v>1.7857142857142856E-2</v>
      </c>
    </row>
    <row r="151" spans="1:8">
      <c r="B151" s="15">
        <v>5</v>
      </c>
      <c r="C151">
        <v>450</v>
      </c>
      <c r="D151">
        <v>450</v>
      </c>
      <c r="E151">
        <f t="shared" si="3"/>
        <v>900</v>
      </c>
      <c r="F151">
        <v>90</v>
      </c>
      <c r="G151">
        <f t="shared" si="4"/>
        <v>810</v>
      </c>
      <c r="H151" s="1">
        <f t="shared" si="5"/>
        <v>0.1</v>
      </c>
    </row>
    <row r="152" spans="1:8">
      <c r="B152" s="4">
        <v>6</v>
      </c>
      <c r="C152">
        <v>900</v>
      </c>
      <c r="D152">
        <v>900</v>
      </c>
      <c r="E152">
        <f t="shared" si="3"/>
        <v>1800</v>
      </c>
      <c r="F152">
        <v>30</v>
      </c>
      <c r="G152">
        <f t="shared" si="4"/>
        <v>1770</v>
      </c>
      <c r="H152" s="1">
        <f t="shared" si="5"/>
        <v>1.6666666666666666E-2</v>
      </c>
    </row>
    <row r="153" spans="1:8">
      <c r="A153" s="2">
        <v>45742</v>
      </c>
      <c r="B153" s="4">
        <v>1</v>
      </c>
      <c r="C153">
        <v>500</v>
      </c>
      <c r="D153">
        <v>500</v>
      </c>
      <c r="E153">
        <f t="shared" si="3"/>
        <v>1000</v>
      </c>
      <c r="F153">
        <v>100</v>
      </c>
      <c r="G153">
        <f t="shared" si="4"/>
        <v>900</v>
      </c>
      <c r="H153" s="1">
        <f t="shared" si="5"/>
        <v>0.1</v>
      </c>
    </row>
    <row r="154" spans="1:8">
      <c r="B154" s="15">
        <v>2</v>
      </c>
      <c r="C154">
        <v>700</v>
      </c>
      <c r="D154">
        <v>700</v>
      </c>
      <c r="E154">
        <f t="shared" si="3"/>
        <v>1400</v>
      </c>
      <c r="F154">
        <v>40</v>
      </c>
      <c r="G154">
        <f t="shared" si="4"/>
        <v>1360</v>
      </c>
      <c r="H154" s="1">
        <f t="shared" si="5"/>
        <v>2.8571428571428571E-2</v>
      </c>
    </row>
    <row r="155" spans="1:8">
      <c r="B155" s="4">
        <v>3</v>
      </c>
      <c r="C155">
        <v>500</v>
      </c>
      <c r="D155">
        <v>500</v>
      </c>
      <c r="E155">
        <f t="shared" si="3"/>
        <v>1000</v>
      </c>
      <c r="F155">
        <v>55</v>
      </c>
      <c r="G155">
        <f t="shared" si="4"/>
        <v>945</v>
      </c>
      <c r="H155" s="1">
        <f t="shared" si="5"/>
        <v>5.5E-2</v>
      </c>
    </row>
    <row r="156" spans="1:8">
      <c r="B156" s="15">
        <v>4</v>
      </c>
      <c r="C156">
        <v>700</v>
      </c>
      <c r="D156">
        <v>700</v>
      </c>
      <c r="E156">
        <f t="shared" si="3"/>
        <v>1400</v>
      </c>
      <c r="F156">
        <v>35</v>
      </c>
      <c r="G156">
        <f t="shared" si="4"/>
        <v>1365</v>
      </c>
      <c r="H156" s="1">
        <f t="shared" si="5"/>
        <v>2.5000000000000001E-2</v>
      </c>
    </row>
    <row r="157" spans="1:8">
      <c r="B157" s="15">
        <v>5</v>
      </c>
      <c r="C157">
        <v>450</v>
      </c>
      <c r="D157">
        <v>450</v>
      </c>
      <c r="E157">
        <f t="shared" si="3"/>
        <v>900</v>
      </c>
      <c r="F157">
        <v>30</v>
      </c>
      <c r="G157">
        <f t="shared" si="4"/>
        <v>870</v>
      </c>
      <c r="H157" s="1">
        <f t="shared" si="5"/>
        <v>3.3333333333333333E-2</v>
      </c>
    </row>
    <row r="158" spans="1:8">
      <c r="B158" s="4">
        <v>6</v>
      </c>
      <c r="C158">
        <v>900</v>
      </c>
      <c r="D158">
        <v>900</v>
      </c>
      <c r="E158">
        <f t="shared" si="3"/>
        <v>1800</v>
      </c>
      <c r="F158">
        <v>70</v>
      </c>
      <c r="G158">
        <f t="shared" si="4"/>
        <v>1730</v>
      </c>
      <c r="H158" s="1">
        <f t="shared" si="5"/>
        <v>3.888888888888889E-2</v>
      </c>
    </row>
    <row r="159" spans="1:8">
      <c r="A159" s="2">
        <v>45743</v>
      </c>
      <c r="B159" s="4">
        <v>1</v>
      </c>
      <c r="C159">
        <v>500</v>
      </c>
      <c r="D159">
        <v>500</v>
      </c>
      <c r="E159">
        <f t="shared" si="3"/>
        <v>1000</v>
      </c>
      <c r="F159">
        <v>160</v>
      </c>
      <c r="G159">
        <f t="shared" si="4"/>
        <v>840</v>
      </c>
      <c r="H159" s="1">
        <f t="shared" si="5"/>
        <v>0.16</v>
      </c>
    </row>
    <row r="160" spans="1:8">
      <c r="B160" s="15">
        <v>2</v>
      </c>
      <c r="C160">
        <v>700</v>
      </c>
      <c r="D160">
        <v>700</v>
      </c>
      <c r="E160">
        <f t="shared" si="3"/>
        <v>1400</v>
      </c>
      <c r="F160">
        <v>45</v>
      </c>
      <c r="G160">
        <f t="shared" si="4"/>
        <v>1355</v>
      </c>
      <c r="H160" s="1">
        <f t="shared" si="5"/>
        <v>3.214285714285714E-2</v>
      </c>
    </row>
    <row r="161" spans="1:8">
      <c r="B161" s="4">
        <v>3</v>
      </c>
      <c r="C161">
        <v>500</v>
      </c>
      <c r="D161">
        <v>500</v>
      </c>
      <c r="E161">
        <f t="shared" si="3"/>
        <v>1000</v>
      </c>
      <c r="F161">
        <v>170</v>
      </c>
      <c r="G161">
        <f t="shared" si="4"/>
        <v>830</v>
      </c>
      <c r="H161" s="1">
        <f t="shared" si="5"/>
        <v>0.17</v>
      </c>
    </row>
    <row r="162" spans="1:8">
      <c r="B162" s="15">
        <v>4</v>
      </c>
      <c r="C162">
        <v>700</v>
      </c>
      <c r="D162">
        <v>700</v>
      </c>
      <c r="E162">
        <f t="shared" si="3"/>
        <v>1400</v>
      </c>
      <c r="F162">
        <v>90</v>
      </c>
      <c r="G162">
        <f t="shared" si="4"/>
        <v>1310</v>
      </c>
      <c r="H162" s="1">
        <f t="shared" si="5"/>
        <v>6.4285714285714279E-2</v>
      </c>
    </row>
    <row r="163" spans="1:8">
      <c r="B163" s="15">
        <v>5</v>
      </c>
      <c r="C163">
        <v>450</v>
      </c>
      <c r="D163">
        <v>450</v>
      </c>
      <c r="E163">
        <f t="shared" si="3"/>
        <v>900</v>
      </c>
      <c r="F163">
        <v>80</v>
      </c>
      <c r="G163">
        <f t="shared" si="4"/>
        <v>820</v>
      </c>
      <c r="H163" s="1">
        <f t="shared" si="5"/>
        <v>8.8888888888888892E-2</v>
      </c>
    </row>
    <row r="164" spans="1:8">
      <c r="B164" s="4">
        <v>6</v>
      </c>
      <c r="C164">
        <v>900</v>
      </c>
      <c r="D164">
        <v>900</v>
      </c>
      <c r="E164">
        <f t="shared" si="3"/>
        <v>1800</v>
      </c>
      <c r="F164">
        <v>85</v>
      </c>
      <c r="G164">
        <f t="shared" si="4"/>
        <v>1715</v>
      </c>
      <c r="H164" s="1">
        <f t="shared" si="5"/>
        <v>4.7222222222222221E-2</v>
      </c>
    </row>
    <row r="165" spans="1:8">
      <c r="A165" s="2">
        <v>45744</v>
      </c>
      <c r="B165" s="4">
        <v>1</v>
      </c>
      <c r="C165">
        <v>500</v>
      </c>
      <c r="D165">
        <v>500</v>
      </c>
      <c r="E165">
        <f t="shared" si="3"/>
        <v>1000</v>
      </c>
      <c r="F165">
        <v>70</v>
      </c>
      <c r="G165">
        <f t="shared" si="4"/>
        <v>930</v>
      </c>
      <c r="H165" s="1">
        <f t="shared" si="5"/>
        <v>7.0000000000000007E-2</v>
      </c>
    </row>
    <row r="166" spans="1:8">
      <c r="B166" s="15">
        <v>2</v>
      </c>
      <c r="C166">
        <v>700</v>
      </c>
      <c r="D166">
        <v>700</v>
      </c>
      <c r="E166">
        <f t="shared" si="3"/>
        <v>1400</v>
      </c>
      <c r="F166">
        <v>30</v>
      </c>
      <c r="G166">
        <f t="shared" si="4"/>
        <v>1370</v>
      </c>
      <c r="H166" s="1">
        <f t="shared" si="5"/>
        <v>2.1428571428571429E-2</v>
      </c>
    </row>
    <row r="167" spans="1:8">
      <c r="B167" s="4">
        <v>3</v>
      </c>
      <c r="C167">
        <v>500</v>
      </c>
      <c r="D167">
        <v>500</v>
      </c>
      <c r="E167">
        <f t="shared" si="3"/>
        <v>1000</v>
      </c>
      <c r="F167">
        <v>55</v>
      </c>
      <c r="G167">
        <f t="shared" si="4"/>
        <v>945</v>
      </c>
      <c r="H167" s="1">
        <f t="shared" si="5"/>
        <v>5.5E-2</v>
      </c>
    </row>
    <row r="168" spans="1:8">
      <c r="B168" s="15">
        <v>4</v>
      </c>
      <c r="C168">
        <v>700</v>
      </c>
      <c r="D168">
        <v>700</v>
      </c>
      <c r="E168">
        <f t="shared" si="3"/>
        <v>1400</v>
      </c>
      <c r="F168">
        <v>65</v>
      </c>
      <c r="G168">
        <f t="shared" si="4"/>
        <v>1335</v>
      </c>
      <c r="H168" s="1">
        <f t="shared" si="5"/>
        <v>4.642857142857143E-2</v>
      </c>
    </row>
    <row r="169" spans="1:8">
      <c r="B169" s="15">
        <v>5</v>
      </c>
      <c r="C169">
        <v>450</v>
      </c>
      <c r="D169">
        <v>450</v>
      </c>
      <c r="E169">
        <f t="shared" si="3"/>
        <v>900</v>
      </c>
      <c r="F169">
        <v>0</v>
      </c>
      <c r="G169">
        <f t="shared" si="4"/>
        <v>900</v>
      </c>
      <c r="H169" s="1">
        <f t="shared" si="5"/>
        <v>0</v>
      </c>
    </row>
    <row r="170" spans="1:8">
      <c r="B170" s="4">
        <v>6</v>
      </c>
      <c r="C170">
        <v>900</v>
      </c>
      <c r="D170">
        <v>900</v>
      </c>
      <c r="E170">
        <f t="shared" si="3"/>
        <v>1800</v>
      </c>
      <c r="F170">
        <v>115</v>
      </c>
      <c r="G170">
        <f t="shared" si="4"/>
        <v>1685</v>
      </c>
      <c r="H170" s="1">
        <f t="shared" si="5"/>
        <v>6.3888888888888884E-2</v>
      </c>
    </row>
    <row r="171" spans="1:8">
      <c r="A171" s="2">
        <v>45745</v>
      </c>
      <c r="B171" s="4">
        <v>1</v>
      </c>
      <c r="C171">
        <v>1050</v>
      </c>
      <c r="D171">
        <v>0</v>
      </c>
      <c r="E171">
        <f t="shared" si="3"/>
        <v>1050</v>
      </c>
      <c r="F171">
        <v>100</v>
      </c>
      <c r="G171">
        <f t="shared" si="4"/>
        <v>950</v>
      </c>
      <c r="H171" s="1">
        <f t="shared" si="5"/>
        <v>9.5238095238095233E-2</v>
      </c>
    </row>
    <row r="172" spans="1:8">
      <c r="B172" s="15">
        <v>2</v>
      </c>
      <c r="C172">
        <v>1400</v>
      </c>
      <c r="D172">
        <v>0</v>
      </c>
      <c r="E172">
        <f t="shared" si="3"/>
        <v>1400</v>
      </c>
      <c r="F172">
        <v>40</v>
      </c>
      <c r="G172">
        <f t="shared" si="4"/>
        <v>1360</v>
      </c>
      <c r="H172" s="1">
        <f t="shared" si="5"/>
        <v>2.8571428571428571E-2</v>
      </c>
    </row>
    <row r="173" spans="1:8">
      <c r="B173" s="4">
        <v>3</v>
      </c>
      <c r="C173">
        <v>1000</v>
      </c>
      <c r="D173">
        <v>0</v>
      </c>
      <c r="E173">
        <f t="shared" si="3"/>
        <v>1000</v>
      </c>
      <c r="F173">
        <v>65</v>
      </c>
      <c r="G173">
        <f t="shared" si="4"/>
        <v>935</v>
      </c>
      <c r="H173" s="1">
        <f t="shared" si="5"/>
        <v>6.5000000000000002E-2</v>
      </c>
    </row>
    <row r="174" spans="1:8">
      <c r="B174" s="15">
        <v>4</v>
      </c>
      <c r="C174">
        <v>1400</v>
      </c>
      <c r="D174">
        <v>0</v>
      </c>
      <c r="E174">
        <f t="shared" si="3"/>
        <v>1400</v>
      </c>
      <c r="F174">
        <v>90</v>
      </c>
      <c r="G174">
        <f t="shared" si="4"/>
        <v>1310</v>
      </c>
      <c r="H174" s="1">
        <f t="shared" si="5"/>
        <v>6.4285714285714279E-2</v>
      </c>
    </row>
    <row r="175" spans="1:8">
      <c r="B175" s="15">
        <v>5</v>
      </c>
      <c r="C175">
        <v>900</v>
      </c>
      <c r="D175">
        <v>0</v>
      </c>
      <c r="E175">
        <f t="shared" si="3"/>
        <v>900</v>
      </c>
      <c r="F175">
        <v>20</v>
      </c>
      <c r="G175">
        <f t="shared" si="4"/>
        <v>880</v>
      </c>
      <c r="H175" s="1">
        <f t="shared" si="5"/>
        <v>2.2222222222222223E-2</v>
      </c>
    </row>
    <row r="176" spans="1:8">
      <c r="B176" s="4">
        <v>6</v>
      </c>
      <c r="C176">
        <v>1800</v>
      </c>
      <c r="D176">
        <v>0</v>
      </c>
      <c r="E176">
        <f t="shared" si="3"/>
        <v>1800</v>
      </c>
      <c r="F176">
        <v>75</v>
      </c>
      <c r="G176">
        <f t="shared" si="4"/>
        <v>1725</v>
      </c>
      <c r="H176" s="1">
        <f t="shared" si="5"/>
        <v>4.1666666666666664E-2</v>
      </c>
    </row>
    <row r="177" spans="1:8">
      <c r="A177" s="2">
        <v>45746</v>
      </c>
      <c r="B177" s="4">
        <v>1</v>
      </c>
      <c r="C177">
        <v>500</v>
      </c>
      <c r="D177">
        <v>500</v>
      </c>
      <c r="E177">
        <f t="shared" si="3"/>
        <v>1000</v>
      </c>
      <c r="F177">
        <v>95</v>
      </c>
      <c r="G177">
        <f t="shared" si="4"/>
        <v>905</v>
      </c>
      <c r="H177" s="1">
        <f t="shared" si="5"/>
        <v>9.5000000000000001E-2</v>
      </c>
    </row>
    <row r="178" spans="1:8">
      <c r="B178" s="15">
        <v>2</v>
      </c>
      <c r="C178">
        <v>700</v>
      </c>
      <c r="D178">
        <v>700</v>
      </c>
      <c r="E178">
        <f t="shared" si="3"/>
        <v>1400</v>
      </c>
      <c r="F178">
        <v>45</v>
      </c>
      <c r="G178">
        <f t="shared" si="4"/>
        <v>1355</v>
      </c>
      <c r="H178" s="1">
        <f t="shared" si="5"/>
        <v>3.214285714285714E-2</v>
      </c>
    </row>
    <row r="179" spans="1:8">
      <c r="B179" s="4">
        <v>3</v>
      </c>
      <c r="C179">
        <v>500</v>
      </c>
      <c r="D179">
        <v>500</v>
      </c>
      <c r="E179">
        <f t="shared" si="3"/>
        <v>1000</v>
      </c>
      <c r="F179">
        <v>120</v>
      </c>
      <c r="G179">
        <f t="shared" si="4"/>
        <v>880</v>
      </c>
      <c r="H179" s="1">
        <f t="shared" si="5"/>
        <v>0.12</v>
      </c>
    </row>
    <row r="180" spans="1:8">
      <c r="B180" s="15">
        <v>4</v>
      </c>
      <c r="C180">
        <v>700</v>
      </c>
      <c r="D180">
        <v>700</v>
      </c>
      <c r="E180">
        <f t="shared" si="3"/>
        <v>1400</v>
      </c>
      <c r="F180">
        <v>45</v>
      </c>
      <c r="G180">
        <f t="shared" si="4"/>
        <v>1355</v>
      </c>
      <c r="H180" s="1">
        <f t="shared" si="5"/>
        <v>3.214285714285714E-2</v>
      </c>
    </row>
    <row r="181" spans="1:8">
      <c r="B181" s="15">
        <v>5</v>
      </c>
      <c r="C181">
        <v>450</v>
      </c>
      <c r="D181">
        <v>450</v>
      </c>
      <c r="E181">
        <f t="shared" si="3"/>
        <v>900</v>
      </c>
      <c r="F181">
        <v>165</v>
      </c>
      <c r="G181">
        <f t="shared" si="4"/>
        <v>735</v>
      </c>
      <c r="H181" s="1">
        <f t="shared" si="5"/>
        <v>0.18333333333333332</v>
      </c>
    </row>
    <row r="182" spans="1:8">
      <c r="B182" s="4">
        <v>6</v>
      </c>
      <c r="C182">
        <v>900</v>
      </c>
      <c r="D182">
        <v>900</v>
      </c>
      <c r="E182">
        <f t="shared" si="3"/>
        <v>1800</v>
      </c>
      <c r="F182">
        <v>160</v>
      </c>
      <c r="G182">
        <f t="shared" si="4"/>
        <v>1640</v>
      </c>
      <c r="H182" s="1">
        <f t="shared" si="5"/>
        <v>8.8888888888888892E-2</v>
      </c>
    </row>
    <row r="183" spans="1:8">
      <c r="A183" s="2">
        <v>45747</v>
      </c>
      <c r="B183" s="4">
        <v>1</v>
      </c>
      <c r="C183">
        <v>500</v>
      </c>
      <c r="D183">
        <v>500</v>
      </c>
      <c r="E183">
        <f t="shared" si="3"/>
        <v>1000</v>
      </c>
      <c r="F183">
        <v>100</v>
      </c>
      <c r="G183">
        <f t="shared" si="4"/>
        <v>900</v>
      </c>
      <c r="H183" s="1">
        <f t="shared" si="5"/>
        <v>0.1</v>
      </c>
    </row>
    <row r="184" spans="1:8">
      <c r="B184" s="15">
        <v>2</v>
      </c>
      <c r="C184">
        <v>700</v>
      </c>
      <c r="D184">
        <v>700</v>
      </c>
      <c r="E184">
        <f t="shared" si="3"/>
        <v>1400</v>
      </c>
      <c r="F184">
        <v>50</v>
      </c>
      <c r="G184">
        <f t="shared" si="4"/>
        <v>1350</v>
      </c>
      <c r="H184" s="1">
        <f t="shared" si="5"/>
        <v>3.5714285714285712E-2</v>
      </c>
    </row>
    <row r="185" spans="1:8">
      <c r="B185" s="4">
        <v>3</v>
      </c>
      <c r="C185">
        <v>500</v>
      </c>
      <c r="D185">
        <v>500</v>
      </c>
      <c r="E185">
        <f t="shared" si="3"/>
        <v>1000</v>
      </c>
      <c r="F185">
        <v>190</v>
      </c>
      <c r="G185">
        <f t="shared" si="4"/>
        <v>810</v>
      </c>
      <c r="H185" s="1">
        <f t="shared" si="5"/>
        <v>0.19</v>
      </c>
    </row>
    <row r="186" spans="1:8">
      <c r="B186" s="15">
        <v>4</v>
      </c>
      <c r="C186">
        <v>700</v>
      </c>
      <c r="D186">
        <v>700</v>
      </c>
      <c r="E186">
        <f t="shared" si="3"/>
        <v>1400</v>
      </c>
      <c r="F186">
        <v>100</v>
      </c>
      <c r="G186">
        <f t="shared" si="4"/>
        <v>1300</v>
      </c>
      <c r="H186" s="1">
        <f t="shared" si="5"/>
        <v>7.1428571428571425E-2</v>
      </c>
    </row>
    <row r="187" spans="1:8">
      <c r="B187" s="15">
        <v>5</v>
      </c>
      <c r="C187">
        <v>450</v>
      </c>
      <c r="D187">
        <v>450</v>
      </c>
      <c r="E187">
        <f t="shared" si="3"/>
        <v>900</v>
      </c>
      <c r="F187">
        <v>80</v>
      </c>
      <c r="G187">
        <f t="shared" si="4"/>
        <v>820</v>
      </c>
      <c r="H187" s="1">
        <f t="shared" si="5"/>
        <v>8.8888888888888892E-2</v>
      </c>
    </row>
    <row r="188" spans="1:8">
      <c r="B188" s="4">
        <v>6</v>
      </c>
      <c r="C188">
        <v>900</v>
      </c>
      <c r="D188">
        <v>900</v>
      </c>
      <c r="E188">
        <f t="shared" si="3"/>
        <v>1800</v>
      </c>
      <c r="F188">
        <v>70</v>
      </c>
      <c r="G188">
        <f t="shared" si="4"/>
        <v>1730</v>
      </c>
      <c r="H188" s="1">
        <f t="shared" si="5"/>
        <v>3.888888888888889E-2</v>
      </c>
    </row>
  </sheetData>
  <autoFilter ref="A2:I188" xr:uid="{E316DDE4-F77D-49E8-8C5A-4B39BAF4355D}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F135-EFA6-44E7-85D0-F65A22E9FFE0}">
  <dimension ref="A1:I182"/>
  <sheetViews>
    <sheetView workbookViewId="0">
      <selection activeCell="I103" sqref="I103"/>
    </sheetView>
  </sheetViews>
  <sheetFormatPr baseColWidth="10" defaultRowHeight="14"/>
  <cols>
    <col min="9" max="9" width="29.25" customWidth="1"/>
  </cols>
  <sheetData>
    <row r="1" spans="1:8" ht="20.5" thickBot="1">
      <c r="A1" s="97" t="s">
        <v>18</v>
      </c>
      <c r="B1" s="97"/>
      <c r="C1" s="97"/>
      <c r="D1" s="97"/>
      <c r="E1" s="97"/>
      <c r="F1" s="97"/>
      <c r="G1" s="97"/>
      <c r="H1" s="97"/>
    </row>
    <row r="2" spans="1:8" ht="18.5" thickBot="1">
      <c r="A2" s="22" t="s">
        <v>0</v>
      </c>
      <c r="B2" s="18" t="s">
        <v>1</v>
      </c>
      <c r="C2" s="24" t="s">
        <v>2</v>
      </c>
      <c r="D2" s="24" t="s">
        <v>3</v>
      </c>
      <c r="E2" s="24" t="s">
        <v>5</v>
      </c>
      <c r="F2" s="24" t="s">
        <v>4</v>
      </c>
      <c r="G2" s="24" t="s">
        <v>7</v>
      </c>
      <c r="H2" s="23" t="s">
        <v>8</v>
      </c>
    </row>
    <row r="3" spans="1:8">
      <c r="A3" s="2">
        <v>45748</v>
      </c>
      <c r="B3" s="4">
        <v>1</v>
      </c>
      <c r="C3">
        <v>500</v>
      </c>
      <c r="D3">
        <v>500</v>
      </c>
      <c r="E3">
        <f>$C3+D3</f>
        <v>1000</v>
      </c>
      <c r="F3">
        <v>90</v>
      </c>
      <c r="G3">
        <f>$E3-F3</f>
        <v>910</v>
      </c>
      <c r="H3" s="1">
        <f>$F3/E3</f>
        <v>0.09</v>
      </c>
    </row>
    <row r="4" spans="1:8">
      <c r="B4" s="15">
        <v>2</v>
      </c>
      <c r="C4">
        <v>700</v>
      </c>
      <c r="D4">
        <v>700</v>
      </c>
      <c r="E4">
        <f t="shared" ref="E4:E67" si="0">$C4+D4</f>
        <v>1400</v>
      </c>
      <c r="F4">
        <v>35</v>
      </c>
      <c r="G4">
        <f t="shared" ref="G4:G67" si="1">$E4-F4</f>
        <v>1365</v>
      </c>
      <c r="H4" s="1">
        <f t="shared" ref="H4:H67" si="2">$F4/E4</f>
        <v>2.5000000000000001E-2</v>
      </c>
    </row>
    <row r="5" spans="1:8">
      <c r="B5" s="4">
        <v>3</v>
      </c>
      <c r="C5">
        <v>500</v>
      </c>
      <c r="D5">
        <v>500</v>
      </c>
      <c r="E5">
        <f t="shared" si="0"/>
        <v>1000</v>
      </c>
      <c r="F5">
        <v>40</v>
      </c>
      <c r="G5">
        <f t="shared" si="1"/>
        <v>960</v>
      </c>
      <c r="H5" s="1">
        <f t="shared" si="2"/>
        <v>0.04</v>
      </c>
    </row>
    <row r="6" spans="1:8">
      <c r="B6" s="15">
        <v>4</v>
      </c>
      <c r="C6">
        <v>700</v>
      </c>
      <c r="D6">
        <v>700</v>
      </c>
      <c r="E6">
        <f t="shared" si="0"/>
        <v>1400</v>
      </c>
      <c r="F6">
        <v>75</v>
      </c>
      <c r="G6">
        <f t="shared" si="1"/>
        <v>1325</v>
      </c>
      <c r="H6" s="1">
        <f t="shared" si="2"/>
        <v>5.3571428571428568E-2</v>
      </c>
    </row>
    <row r="7" spans="1:8">
      <c r="B7" s="15">
        <v>5</v>
      </c>
      <c r="C7">
        <v>450</v>
      </c>
      <c r="D7">
        <v>450</v>
      </c>
      <c r="E7">
        <f t="shared" si="0"/>
        <v>900</v>
      </c>
      <c r="F7">
        <v>90</v>
      </c>
      <c r="G7">
        <f t="shared" si="1"/>
        <v>810</v>
      </c>
      <c r="H7" s="1">
        <f t="shared" si="2"/>
        <v>0.1</v>
      </c>
    </row>
    <row r="8" spans="1:8">
      <c r="B8" s="4">
        <v>6</v>
      </c>
      <c r="C8">
        <v>900</v>
      </c>
      <c r="D8">
        <v>900</v>
      </c>
      <c r="E8">
        <f t="shared" si="0"/>
        <v>1800</v>
      </c>
      <c r="F8">
        <v>20</v>
      </c>
      <c r="G8">
        <f t="shared" si="1"/>
        <v>1780</v>
      </c>
      <c r="H8" s="1">
        <f t="shared" si="2"/>
        <v>1.1111111111111112E-2</v>
      </c>
    </row>
    <row r="9" spans="1:8">
      <c r="A9" s="2">
        <v>45749</v>
      </c>
      <c r="B9" s="4">
        <v>1</v>
      </c>
      <c r="C9">
        <v>500</v>
      </c>
      <c r="D9">
        <v>500</v>
      </c>
      <c r="E9">
        <f t="shared" si="0"/>
        <v>1000</v>
      </c>
      <c r="F9">
        <v>175</v>
      </c>
      <c r="G9">
        <f t="shared" si="1"/>
        <v>825</v>
      </c>
      <c r="H9" s="1">
        <f t="shared" si="2"/>
        <v>0.17499999999999999</v>
      </c>
    </row>
    <row r="10" spans="1:8">
      <c r="B10" s="15">
        <v>2</v>
      </c>
      <c r="C10">
        <v>700</v>
      </c>
      <c r="D10">
        <v>700</v>
      </c>
      <c r="E10">
        <f t="shared" si="0"/>
        <v>1400</v>
      </c>
      <c r="F10">
        <v>40</v>
      </c>
      <c r="G10">
        <f t="shared" si="1"/>
        <v>1360</v>
      </c>
      <c r="H10" s="1">
        <f t="shared" si="2"/>
        <v>2.8571428571428571E-2</v>
      </c>
    </row>
    <row r="11" spans="1:8">
      <c r="B11" s="4">
        <v>3</v>
      </c>
      <c r="C11">
        <v>500</v>
      </c>
      <c r="D11">
        <v>500</v>
      </c>
      <c r="E11">
        <f t="shared" si="0"/>
        <v>1000</v>
      </c>
      <c r="F11">
        <v>165</v>
      </c>
      <c r="G11">
        <f t="shared" si="1"/>
        <v>835</v>
      </c>
      <c r="H11" s="1">
        <f t="shared" si="2"/>
        <v>0.16500000000000001</v>
      </c>
    </row>
    <row r="12" spans="1:8">
      <c r="B12" s="15">
        <v>4</v>
      </c>
      <c r="C12">
        <v>700</v>
      </c>
      <c r="D12">
        <v>700</v>
      </c>
      <c r="E12">
        <f t="shared" si="0"/>
        <v>1400</v>
      </c>
      <c r="F12">
        <v>35</v>
      </c>
      <c r="G12">
        <f t="shared" si="1"/>
        <v>1365</v>
      </c>
      <c r="H12" s="1">
        <f t="shared" si="2"/>
        <v>2.5000000000000001E-2</v>
      </c>
    </row>
    <row r="13" spans="1:8">
      <c r="B13" s="15">
        <v>5</v>
      </c>
      <c r="C13">
        <v>450</v>
      </c>
      <c r="D13">
        <v>450</v>
      </c>
      <c r="E13">
        <f t="shared" si="0"/>
        <v>900</v>
      </c>
      <c r="F13">
        <v>90</v>
      </c>
      <c r="G13">
        <f t="shared" si="1"/>
        <v>810</v>
      </c>
      <c r="H13" s="1">
        <f t="shared" si="2"/>
        <v>0.1</v>
      </c>
    </row>
    <row r="14" spans="1:8">
      <c r="B14" s="4">
        <v>6</v>
      </c>
      <c r="C14">
        <v>900</v>
      </c>
      <c r="D14">
        <v>900</v>
      </c>
      <c r="E14">
        <f t="shared" si="0"/>
        <v>1800</v>
      </c>
      <c r="F14">
        <v>185</v>
      </c>
      <c r="G14">
        <f t="shared" si="1"/>
        <v>1615</v>
      </c>
      <c r="H14" s="1">
        <f t="shared" si="2"/>
        <v>0.10277777777777777</v>
      </c>
    </row>
    <row r="15" spans="1:8">
      <c r="A15" s="2">
        <v>45750</v>
      </c>
      <c r="B15" s="4">
        <v>1</v>
      </c>
      <c r="C15">
        <v>500</v>
      </c>
      <c r="D15">
        <v>500</v>
      </c>
      <c r="E15">
        <f t="shared" si="0"/>
        <v>1000</v>
      </c>
      <c r="F15">
        <v>100</v>
      </c>
      <c r="G15">
        <f t="shared" si="1"/>
        <v>900</v>
      </c>
      <c r="H15" s="1">
        <f t="shared" si="2"/>
        <v>0.1</v>
      </c>
    </row>
    <row r="16" spans="1:8">
      <c r="B16" s="15">
        <v>2</v>
      </c>
      <c r="C16">
        <v>700</v>
      </c>
      <c r="D16">
        <v>700</v>
      </c>
      <c r="E16">
        <f t="shared" si="0"/>
        <v>1400</v>
      </c>
      <c r="F16">
        <v>65</v>
      </c>
      <c r="G16">
        <f t="shared" si="1"/>
        <v>1335</v>
      </c>
      <c r="H16" s="1">
        <f t="shared" si="2"/>
        <v>4.642857142857143E-2</v>
      </c>
    </row>
    <row r="17" spans="1:8">
      <c r="B17" s="4">
        <v>3</v>
      </c>
      <c r="C17">
        <v>500</v>
      </c>
      <c r="D17">
        <v>500</v>
      </c>
      <c r="E17">
        <f t="shared" si="0"/>
        <v>1000</v>
      </c>
      <c r="F17">
        <v>30</v>
      </c>
      <c r="G17">
        <f t="shared" si="1"/>
        <v>970</v>
      </c>
      <c r="H17" s="1">
        <f t="shared" si="2"/>
        <v>0.03</v>
      </c>
    </row>
    <row r="18" spans="1:8">
      <c r="B18" s="15">
        <v>4</v>
      </c>
      <c r="C18">
        <v>700</v>
      </c>
      <c r="D18">
        <v>700</v>
      </c>
      <c r="E18">
        <f t="shared" si="0"/>
        <v>1400</v>
      </c>
      <c r="F18">
        <v>115</v>
      </c>
      <c r="G18">
        <f t="shared" si="1"/>
        <v>1285</v>
      </c>
      <c r="H18" s="1">
        <f t="shared" si="2"/>
        <v>8.2142857142857142E-2</v>
      </c>
    </row>
    <row r="19" spans="1:8">
      <c r="B19" s="15">
        <v>5</v>
      </c>
      <c r="C19">
        <v>450</v>
      </c>
      <c r="D19">
        <v>450</v>
      </c>
      <c r="E19">
        <f t="shared" si="0"/>
        <v>900</v>
      </c>
      <c r="F19">
        <v>85</v>
      </c>
      <c r="G19">
        <f t="shared" si="1"/>
        <v>815</v>
      </c>
      <c r="H19" s="1">
        <f t="shared" si="2"/>
        <v>9.4444444444444442E-2</v>
      </c>
    </row>
    <row r="20" spans="1:8">
      <c r="B20" s="4">
        <v>6</v>
      </c>
      <c r="C20">
        <v>900</v>
      </c>
      <c r="D20">
        <v>900</v>
      </c>
      <c r="E20">
        <f t="shared" si="0"/>
        <v>1800</v>
      </c>
      <c r="F20">
        <v>70</v>
      </c>
      <c r="G20">
        <f t="shared" si="1"/>
        <v>1730</v>
      </c>
      <c r="H20" s="1">
        <f t="shared" si="2"/>
        <v>3.888888888888889E-2</v>
      </c>
    </row>
    <row r="21" spans="1:8">
      <c r="A21" s="2">
        <v>45751</v>
      </c>
      <c r="B21" s="4">
        <v>1</v>
      </c>
      <c r="C21">
        <v>500</v>
      </c>
      <c r="D21">
        <v>500</v>
      </c>
      <c r="E21">
        <f t="shared" si="0"/>
        <v>1000</v>
      </c>
      <c r="F21">
        <v>105</v>
      </c>
      <c r="G21">
        <f t="shared" si="1"/>
        <v>895</v>
      </c>
      <c r="H21" s="1">
        <f t="shared" si="2"/>
        <v>0.105</v>
      </c>
    </row>
    <row r="22" spans="1:8">
      <c r="B22" s="15">
        <v>2</v>
      </c>
      <c r="C22">
        <v>700</v>
      </c>
      <c r="D22">
        <v>700</v>
      </c>
      <c r="E22">
        <f t="shared" si="0"/>
        <v>1400</v>
      </c>
      <c r="F22">
        <v>40</v>
      </c>
      <c r="G22">
        <f t="shared" si="1"/>
        <v>1360</v>
      </c>
      <c r="H22" s="1">
        <f t="shared" si="2"/>
        <v>2.8571428571428571E-2</v>
      </c>
    </row>
    <row r="23" spans="1:8">
      <c r="B23" s="4">
        <v>3</v>
      </c>
      <c r="C23">
        <v>500</v>
      </c>
      <c r="D23">
        <v>500</v>
      </c>
      <c r="E23">
        <f t="shared" si="0"/>
        <v>1000</v>
      </c>
      <c r="F23">
        <v>35</v>
      </c>
      <c r="G23">
        <f t="shared" si="1"/>
        <v>965</v>
      </c>
      <c r="H23" s="1">
        <f t="shared" si="2"/>
        <v>3.5000000000000003E-2</v>
      </c>
    </row>
    <row r="24" spans="1:8">
      <c r="B24" s="15">
        <v>4</v>
      </c>
      <c r="C24">
        <v>700</v>
      </c>
      <c r="D24">
        <v>700</v>
      </c>
      <c r="E24">
        <f t="shared" si="0"/>
        <v>1400</v>
      </c>
      <c r="F24">
        <v>90</v>
      </c>
      <c r="G24">
        <f t="shared" si="1"/>
        <v>1310</v>
      </c>
      <c r="H24" s="1">
        <f t="shared" si="2"/>
        <v>6.4285714285714279E-2</v>
      </c>
    </row>
    <row r="25" spans="1:8">
      <c r="B25" s="15">
        <v>5</v>
      </c>
      <c r="C25">
        <v>450</v>
      </c>
      <c r="D25">
        <v>450</v>
      </c>
      <c r="E25">
        <f t="shared" si="0"/>
        <v>900</v>
      </c>
      <c r="F25">
        <v>10</v>
      </c>
      <c r="G25">
        <f t="shared" si="1"/>
        <v>890</v>
      </c>
      <c r="H25" s="1">
        <f t="shared" si="2"/>
        <v>1.1111111111111112E-2</v>
      </c>
    </row>
    <row r="26" spans="1:8">
      <c r="B26" s="4">
        <v>6</v>
      </c>
      <c r="C26">
        <v>900</v>
      </c>
      <c r="D26">
        <v>900</v>
      </c>
      <c r="E26">
        <f t="shared" si="0"/>
        <v>1800</v>
      </c>
      <c r="F26">
        <v>115</v>
      </c>
      <c r="G26">
        <f t="shared" si="1"/>
        <v>1685</v>
      </c>
      <c r="H26" s="1">
        <f t="shared" si="2"/>
        <v>6.3888888888888884E-2</v>
      </c>
    </row>
    <row r="27" spans="1:8">
      <c r="A27" s="2">
        <v>45752</v>
      </c>
      <c r="B27" s="4">
        <v>1</v>
      </c>
      <c r="C27">
        <v>500</v>
      </c>
      <c r="D27">
        <v>500</v>
      </c>
      <c r="E27">
        <f t="shared" si="0"/>
        <v>1000</v>
      </c>
      <c r="F27">
        <v>90</v>
      </c>
      <c r="G27">
        <f t="shared" si="1"/>
        <v>910</v>
      </c>
      <c r="H27" s="1">
        <f t="shared" si="2"/>
        <v>0.09</v>
      </c>
    </row>
    <row r="28" spans="1:8">
      <c r="B28" s="15">
        <v>2</v>
      </c>
      <c r="C28">
        <v>700</v>
      </c>
      <c r="D28">
        <v>700</v>
      </c>
      <c r="E28">
        <f t="shared" si="0"/>
        <v>1400</v>
      </c>
      <c r="F28">
        <v>55</v>
      </c>
      <c r="G28">
        <f t="shared" si="1"/>
        <v>1345</v>
      </c>
      <c r="H28" s="1">
        <f t="shared" si="2"/>
        <v>3.9285714285714285E-2</v>
      </c>
    </row>
    <row r="29" spans="1:8">
      <c r="B29" s="4">
        <v>3</v>
      </c>
      <c r="C29">
        <v>500</v>
      </c>
      <c r="D29">
        <v>500</v>
      </c>
      <c r="E29">
        <f t="shared" si="0"/>
        <v>1000</v>
      </c>
      <c r="F29">
        <v>60</v>
      </c>
      <c r="G29">
        <f t="shared" si="1"/>
        <v>940</v>
      </c>
      <c r="H29" s="1">
        <f t="shared" si="2"/>
        <v>0.06</v>
      </c>
    </row>
    <row r="30" spans="1:8">
      <c r="B30" s="15">
        <v>4</v>
      </c>
      <c r="C30">
        <v>700</v>
      </c>
      <c r="D30">
        <v>700</v>
      </c>
      <c r="E30">
        <f t="shared" si="0"/>
        <v>1400</v>
      </c>
      <c r="F30">
        <v>75</v>
      </c>
      <c r="G30">
        <f t="shared" si="1"/>
        <v>1325</v>
      </c>
      <c r="H30" s="1">
        <f t="shared" si="2"/>
        <v>5.3571428571428568E-2</v>
      </c>
    </row>
    <row r="31" spans="1:8">
      <c r="B31" s="15">
        <v>5</v>
      </c>
      <c r="C31">
        <v>450</v>
      </c>
      <c r="D31">
        <v>450</v>
      </c>
      <c r="E31">
        <f t="shared" si="0"/>
        <v>900</v>
      </c>
      <c r="F31">
        <v>25</v>
      </c>
      <c r="G31">
        <f t="shared" si="1"/>
        <v>875</v>
      </c>
      <c r="H31" s="1">
        <f t="shared" si="2"/>
        <v>2.7777777777777776E-2</v>
      </c>
    </row>
    <row r="32" spans="1:8">
      <c r="B32" s="4">
        <v>6</v>
      </c>
      <c r="C32">
        <v>900</v>
      </c>
      <c r="D32">
        <v>900</v>
      </c>
      <c r="E32">
        <f t="shared" si="0"/>
        <v>1800</v>
      </c>
      <c r="F32">
        <v>110</v>
      </c>
      <c r="G32">
        <f t="shared" si="1"/>
        <v>1690</v>
      </c>
      <c r="H32" s="1">
        <f t="shared" si="2"/>
        <v>6.1111111111111109E-2</v>
      </c>
    </row>
    <row r="33" spans="1:9">
      <c r="A33" s="2">
        <v>45753</v>
      </c>
      <c r="B33" s="4">
        <v>1</v>
      </c>
      <c r="C33">
        <v>500</v>
      </c>
      <c r="D33">
        <v>500</v>
      </c>
      <c r="E33">
        <f t="shared" si="0"/>
        <v>1000</v>
      </c>
      <c r="F33">
        <v>115</v>
      </c>
      <c r="G33">
        <f t="shared" si="1"/>
        <v>885</v>
      </c>
      <c r="H33" s="1">
        <f t="shared" si="2"/>
        <v>0.115</v>
      </c>
    </row>
    <row r="34" spans="1:9">
      <c r="B34" s="15">
        <v>2</v>
      </c>
      <c r="C34">
        <v>700</v>
      </c>
      <c r="D34">
        <v>700</v>
      </c>
      <c r="E34">
        <f t="shared" si="0"/>
        <v>1400</v>
      </c>
      <c r="F34">
        <v>45</v>
      </c>
      <c r="G34">
        <f t="shared" si="1"/>
        <v>1355</v>
      </c>
      <c r="H34" s="1">
        <f t="shared" si="2"/>
        <v>3.214285714285714E-2</v>
      </c>
    </row>
    <row r="35" spans="1:9">
      <c r="B35" s="4">
        <v>3</v>
      </c>
      <c r="C35">
        <v>500</v>
      </c>
      <c r="D35">
        <v>500</v>
      </c>
      <c r="E35">
        <f t="shared" si="0"/>
        <v>1000</v>
      </c>
      <c r="F35">
        <v>30</v>
      </c>
      <c r="G35">
        <f t="shared" si="1"/>
        <v>970</v>
      </c>
      <c r="H35" s="1">
        <f t="shared" si="2"/>
        <v>0.03</v>
      </c>
    </row>
    <row r="36" spans="1:9">
      <c r="B36" s="15">
        <v>4</v>
      </c>
      <c r="C36">
        <v>700</v>
      </c>
      <c r="D36">
        <v>700</v>
      </c>
      <c r="E36">
        <f t="shared" si="0"/>
        <v>1400</v>
      </c>
      <c r="F36">
        <v>60</v>
      </c>
      <c r="G36">
        <f t="shared" si="1"/>
        <v>1340</v>
      </c>
      <c r="H36" s="1">
        <f t="shared" si="2"/>
        <v>4.2857142857142858E-2</v>
      </c>
    </row>
    <row r="37" spans="1:9">
      <c r="B37" s="15">
        <v>5</v>
      </c>
      <c r="C37">
        <v>450</v>
      </c>
      <c r="D37">
        <v>450</v>
      </c>
      <c r="E37">
        <f t="shared" si="0"/>
        <v>900</v>
      </c>
      <c r="F37">
        <v>25</v>
      </c>
      <c r="G37">
        <f t="shared" si="1"/>
        <v>875</v>
      </c>
      <c r="H37" s="1">
        <f t="shared" si="2"/>
        <v>2.7777777777777776E-2</v>
      </c>
    </row>
    <row r="38" spans="1:9">
      <c r="B38" s="4">
        <v>6</v>
      </c>
      <c r="C38">
        <v>900</v>
      </c>
      <c r="D38">
        <v>900</v>
      </c>
      <c r="E38">
        <f t="shared" si="0"/>
        <v>1800</v>
      </c>
      <c r="F38">
        <v>85</v>
      </c>
      <c r="G38">
        <f t="shared" si="1"/>
        <v>1715</v>
      </c>
      <c r="H38" s="1">
        <f t="shared" si="2"/>
        <v>4.7222222222222221E-2</v>
      </c>
    </row>
    <row r="39" spans="1:9">
      <c r="A39" s="14" t="s">
        <v>19</v>
      </c>
      <c r="B39" s="4">
        <v>1</v>
      </c>
      <c r="C39">
        <v>500</v>
      </c>
      <c r="D39">
        <v>500</v>
      </c>
      <c r="E39">
        <f t="shared" si="0"/>
        <v>1000</v>
      </c>
      <c r="F39">
        <v>100</v>
      </c>
      <c r="G39">
        <f t="shared" si="1"/>
        <v>900</v>
      </c>
      <c r="H39" s="1">
        <f t="shared" si="2"/>
        <v>0.1</v>
      </c>
    </row>
    <row r="40" spans="1:9">
      <c r="B40" s="15">
        <v>2</v>
      </c>
      <c r="C40">
        <v>700</v>
      </c>
      <c r="D40">
        <v>700</v>
      </c>
      <c r="E40">
        <f t="shared" si="0"/>
        <v>1400</v>
      </c>
      <c r="F40">
        <v>150</v>
      </c>
      <c r="G40">
        <f t="shared" si="1"/>
        <v>1250</v>
      </c>
      <c r="H40" s="1">
        <f t="shared" si="2"/>
        <v>0.10714285714285714</v>
      </c>
    </row>
    <row r="41" spans="1:9">
      <c r="B41" s="4">
        <v>3</v>
      </c>
      <c r="C41">
        <v>500</v>
      </c>
      <c r="D41">
        <v>500</v>
      </c>
      <c r="E41">
        <f t="shared" si="0"/>
        <v>1000</v>
      </c>
      <c r="F41">
        <v>50</v>
      </c>
      <c r="G41">
        <f t="shared" si="1"/>
        <v>950</v>
      </c>
      <c r="H41" s="1">
        <f t="shared" si="2"/>
        <v>0.05</v>
      </c>
    </row>
    <row r="42" spans="1:9">
      <c r="B42" s="15">
        <v>4</v>
      </c>
      <c r="C42">
        <v>700</v>
      </c>
      <c r="D42">
        <v>700</v>
      </c>
      <c r="E42">
        <f t="shared" si="0"/>
        <v>1400</v>
      </c>
      <c r="F42">
        <v>20</v>
      </c>
      <c r="G42">
        <f t="shared" si="1"/>
        <v>1380</v>
      </c>
      <c r="H42" s="1">
        <f t="shared" si="2"/>
        <v>1.4285714285714285E-2</v>
      </c>
    </row>
    <row r="43" spans="1:9">
      <c r="B43" s="15">
        <v>5</v>
      </c>
      <c r="C43">
        <v>450</v>
      </c>
      <c r="D43">
        <v>450</v>
      </c>
      <c r="E43">
        <f t="shared" si="0"/>
        <v>900</v>
      </c>
      <c r="F43">
        <v>25</v>
      </c>
      <c r="G43">
        <f t="shared" si="1"/>
        <v>875</v>
      </c>
      <c r="H43" s="1">
        <f t="shared" si="2"/>
        <v>2.7777777777777776E-2</v>
      </c>
    </row>
    <row r="44" spans="1:9">
      <c r="B44" s="4">
        <v>6</v>
      </c>
      <c r="C44">
        <v>900</v>
      </c>
      <c r="D44">
        <v>850</v>
      </c>
      <c r="E44">
        <f t="shared" si="0"/>
        <v>1750</v>
      </c>
      <c r="F44">
        <v>30</v>
      </c>
      <c r="G44">
        <f t="shared" si="1"/>
        <v>1720</v>
      </c>
      <c r="H44" s="1">
        <f t="shared" si="2"/>
        <v>1.7142857142857144E-2</v>
      </c>
    </row>
    <row r="45" spans="1:9">
      <c r="A45" s="2">
        <v>45755</v>
      </c>
      <c r="B45" s="4">
        <v>1</v>
      </c>
      <c r="C45">
        <v>500</v>
      </c>
      <c r="D45">
        <v>500</v>
      </c>
      <c r="E45">
        <f t="shared" si="0"/>
        <v>1000</v>
      </c>
      <c r="F45">
        <v>125</v>
      </c>
      <c r="G45">
        <f t="shared" si="1"/>
        <v>875</v>
      </c>
      <c r="H45" s="1">
        <f t="shared" si="2"/>
        <v>0.125</v>
      </c>
      <c r="I45" t="s">
        <v>24</v>
      </c>
    </row>
    <row r="46" spans="1:9">
      <c r="B46" s="15">
        <v>2</v>
      </c>
      <c r="C46">
        <v>760</v>
      </c>
      <c r="D46">
        <v>760</v>
      </c>
      <c r="E46">
        <f t="shared" si="0"/>
        <v>1520</v>
      </c>
      <c r="F46">
        <v>70</v>
      </c>
      <c r="G46">
        <f t="shared" si="1"/>
        <v>1450</v>
      </c>
      <c r="H46" s="1">
        <f t="shared" si="2"/>
        <v>4.6052631578947366E-2</v>
      </c>
    </row>
    <row r="47" spans="1:9">
      <c r="B47" s="4">
        <v>3</v>
      </c>
      <c r="C47">
        <v>400</v>
      </c>
      <c r="D47">
        <v>450</v>
      </c>
      <c r="E47">
        <f t="shared" si="0"/>
        <v>850</v>
      </c>
      <c r="F47">
        <v>85</v>
      </c>
      <c r="G47">
        <f t="shared" si="1"/>
        <v>765</v>
      </c>
      <c r="H47" s="1">
        <f t="shared" si="2"/>
        <v>0.1</v>
      </c>
    </row>
    <row r="48" spans="1:9">
      <c r="B48" s="15">
        <v>4</v>
      </c>
      <c r="C48">
        <v>760</v>
      </c>
      <c r="D48">
        <v>760</v>
      </c>
      <c r="E48">
        <f t="shared" si="0"/>
        <v>1520</v>
      </c>
      <c r="F48">
        <v>90</v>
      </c>
      <c r="G48">
        <f t="shared" si="1"/>
        <v>1430</v>
      </c>
      <c r="H48" s="1">
        <f t="shared" si="2"/>
        <v>5.921052631578947E-2</v>
      </c>
    </row>
    <row r="49" spans="1:8">
      <c r="B49" s="15">
        <v>5</v>
      </c>
      <c r="C49">
        <f>250+250</f>
        <v>500</v>
      </c>
      <c r="D49">
        <f>255+255</f>
        <v>510</v>
      </c>
      <c r="E49">
        <f t="shared" si="0"/>
        <v>1010</v>
      </c>
      <c r="F49">
        <v>20</v>
      </c>
      <c r="G49">
        <f t="shared" si="1"/>
        <v>990</v>
      </c>
      <c r="H49" s="1">
        <f t="shared" si="2"/>
        <v>1.9801980198019802E-2</v>
      </c>
    </row>
    <row r="50" spans="1:8">
      <c r="B50" s="4">
        <v>6</v>
      </c>
      <c r="C50">
        <v>900</v>
      </c>
      <c r="D50">
        <v>900</v>
      </c>
      <c r="E50">
        <f t="shared" si="0"/>
        <v>1800</v>
      </c>
      <c r="F50">
        <v>55</v>
      </c>
      <c r="G50">
        <f t="shared" si="1"/>
        <v>1745</v>
      </c>
      <c r="H50" s="1">
        <f t="shared" si="2"/>
        <v>3.0555555555555555E-2</v>
      </c>
    </row>
    <row r="51" spans="1:8">
      <c r="A51" s="2">
        <v>45756</v>
      </c>
      <c r="B51" s="4">
        <v>1</v>
      </c>
      <c r="C51">
        <v>500</v>
      </c>
      <c r="D51">
        <v>500</v>
      </c>
      <c r="E51">
        <f t="shared" si="0"/>
        <v>1000</v>
      </c>
      <c r="F51">
        <v>60</v>
      </c>
      <c r="G51">
        <f t="shared" si="1"/>
        <v>940</v>
      </c>
      <c r="H51" s="1">
        <f t="shared" si="2"/>
        <v>0.06</v>
      </c>
    </row>
    <row r="52" spans="1:8">
      <c r="B52" s="15">
        <v>2</v>
      </c>
      <c r="C52">
        <v>755</v>
      </c>
      <c r="D52">
        <v>765</v>
      </c>
      <c r="E52">
        <f t="shared" si="0"/>
        <v>1520</v>
      </c>
      <c r="F52">
        <v>65</v>
      </c>
      <c r="G52">
        <f t="shared" si="1"/>
        <v>1455</v>
      </c>
      <c r="H52" s="1">
        <f t="shared" si="2"/>
        <v>4.2763157894736843E-2</v>
      </c>
    </row>
    <row r="53" spans="1:8">
      <c r="B53" s="4">
        <v>3</v>
      </c>
      <c r="C53">
        <v>500</v>
      </c>
      <c r="D53">
        <v>500</v>
      </c>
      <c r="E53">
        <f t="shared" si="0"/>
        <v>1000</v>
      </c>
      <c r="F53">
        <v>40</v>
      </c>
      <c r="G53">
        <f t="shared" si="1"/>
        <v>960</v>
      </c>
      <c r="H53" s="1">
        <f t="shared" si="2"/>
        <v>0.04</v>
      </c>
    </row>
    <row r="54" spans="1:8">
      <c r="B54" s="15">
        <v>4</v>
      </c>
      <c r="C54">
        <v>755</v>
      </c>
      <c r="D54">
        <v>765</v>
      </c>
      <c r="E54">
        <f t="shared" si="0"/>
        <v>1520</v>
      </c>
      <c r="F54">
        <v>55</v>
      </c>
      <c r="G54">
        <f t="shared" si="1"/>
        <v>1465</v>
      </c>
      <c r="H54" s="1">
        <f t="shared" si="2"/>
        <v>3.6184210526315791E-2</v>
      </c>
    </row>
    <row r="55" spans="1:8">
      <c r="B55" s="15">
        <v>5</v>
      </c>
      <c r="C55">
        <f>250+250</f>
        <v>500</v>
      </c>
      <c r="D55">
        <f>259+250</f>
        <v>509</v>
      </c>
      <c r="E55">
        <f t="shared" si="0"/>
        <v>1009</v>
      </c>
      <c r="F55">
        <v>115</v>
      </c>
      <c r="G55">
        <f t="shared" si="1"/>
        <v>894</v>
      </c>
      <c r="H55" s="1">
        <f t="shared" si="2"/>
        <v>0.11397423191278494</v>
      </c>
    </row>
    <row r="56" spans="1:8">
      <c r="B56" s="4">
        <v>6</v>
      </c>
      <c r="C56">
        <v>900</v>
      </c>
      <c r="D56">
        <v>900</v>
      </c>
      <c r="E56">
        <f t="shared" si="0"/>
        <v>1800</v>
      </c>
      <c r="F56">
        <v>70</v>
      </c>
      <c r="G56">
        <f t="shared" si="1"/>
        <v>1730</v>
      </c>
      <c r="H56" s="1">
        <f t="shared" si="2"/>
        <v>3.888888888888889E-2</v>
      </c>
    </row>
    <row r="57" spans="1:8">
      <c r="A57" s="2">
        <v>45757</v>
      </c>
      <c r="B57" s="4">
        <v>1</v>
      </c>
      <c r="C57">
        <v>500</v>
      </c>
      <c r="D57">
        <v>500</v>
      </c>
      <c r="E57">
        <f t="shared" si="0"/>
        <v>1000</v>
      </c>
      <c r="F57">
        <v>90</v>
      </c>
      <c r="G57">
        <f t="shared" si="1"/>
        <v>910</v>
      </c>
      <c r="H57" s="1">
        <f t="shared" si="2"/>
        <v>0.09</v>
      </c>
    </row>
    <row r="58" spans="1:8">
      <c r="B58" s="15">
        <v>2</v>
      </c>
      <c r="C58">
        <v>760</v>
      </c>
      <c r="D58">
        <v>760</v>
      </c>
      <c r="E58">
        <f t="shared" si="0"/>
        <v>1520</v>
      </c>
      <c r="F58">
        <v>65</v>
      </c>
      <c r="G58">
        <f t="shared" si="1"/>
        <v>1455</v>
      </c>
      <c r="H58" s="1">
        <f t="shared" si="2"/>
        <v>4.2763157894736843E-2</v>
      </c>
    </row>
    <row r="59" spans="1:8">
      <c r="B59" s="4">
        <v>3</v>
      </c>
      <c r="C59">
        <v>500</v>
      </c>
      <c r="D59">
        <v>500</v>
      </c>
      <c r="E59">
        <f t="shared" si="0"/>
        <v>1000</v>
      </c>
      <c r="F59">
        <v>70</v>
      </c>
      <c r="G59">
        <f t="shared" si="1"/>
        <v>930</v>
      </c>
      <c r="H59" s="1">
        <f t="shared" si="2"/>
        <v>7.0000000000000007E-2</v>
      </c>
    </row>
    <row r="60" spans="1:8">
      <c r="B60" s="15">
        <v>4</v>
      </c>
      <c r="C60">
        <v>760</v>
      </c>
      <c r="D60">
        <v>760</v>
      </c>
      <c r="E60">
        <f t="shared" si="0"/>
        <v>1520</v>
      </c>
      <c r="F60">
        <v>85</v>
      </c>
      <c r="G60">
        <f t="shared" si="1"/>
        <v>1435</v>
      </c>
      <c r="H60" s="1">
        <f t="shared" si="2"/>
        <v>5.5921052631578948E-2</v>
      </c>
    </row>
    <row r="61" spans="1:8">
      <c r="B61" s="15">
        <v>5</v>
      </c>
      <c r="C61">
        <f>250+250</f>
        <v>500</v>
      </c>
      <c r="D61">
        <f>250+250</f>
        <v>500</v>
      </c>
      <c r="E61">
        <f t="shared" si="0"/>
        <v>1000</v>
      </c>
      <c r="G61">
        <f t="shared" si="1"/>
        <v>1000</v>
      </c>
      <c r="H61" s="1">
        <f t="shared" si="2"/>
        <v>0</v>
      </c>
    </row>
    <row r="62" spans="1:8">
      <c r="B62" s="4">
        <v>6</v>
      </c>
      <c r="C62">
        <v>900</v>
      </c>
      <c r="D62">
        <v>900</v>
      </c>
      <c r="E62">
        <f t="shared" si="0"/>
        <v>1800</v>
      </c>
      <c r="F62">
        <v>110</v>
      </c>
      <c r="G62">
        <f t="shared" si="1"/>
        <v>1690</v>
      </c>
      <c r="H62" s="1">
        <f t="shared" si="2"/>
        <v>6.1111111111111109E-2</v>
      </c>
    </row>
    <row r="63" spans="1:8">
      <c r="A63" s="2">
        <v>45758</v>
      </c>
      <c r="B63" s="4">
        <v>1</v>
      </c>
      <c r="C63">
        <v>500</v>
      </c>
      <c r="D63">
        <v>500</v>
      </c>
      <c r="E63">
        <f t="shared" si="0"/>
        <v>1000</v>
      </c>
      <c r="F63">
        <v>75</v>
      </c>
      <c r="G63">
        <f t="shared" si="1"/>
        <v>925</v>
      </c>
      <c r="H63" s="1">
        <f t="shared" si="2"/>
        <v>7.4999999999999997E-2</v>
      </c>
    </row>
    <row r="64" spans="1:8">
      <c r="B64" s="15">
        <v>2</v>
      </c>
      <c r="C64">
        <v>760</v>
      </c>
      <c r="D64">
        <v>760</v>
      </c>
      <c r="E64">
        <f t="shared" si="0"/>
        <v>1520</v>
      </c>
      <c r="F64">
        <v>40</v>
      </c>
      <c r="G64">
        <f t="shared" si="1"/>
        <v>1480</v>
      </c>
      <c r="H64" s="1">
        <f t="shared" si="2"/>
        <v>2.6315789473684209E-2</v>
      </c>
    </row>
    <row r="65" spans="1:8">
      <c r="B65" s="4">
        <v>3</v>
      </c>
      <c r="C65">
        <v>500</v>
      </c>
      <c r="D65">
        <v>500</v>
      </c>
      <c r="E65">
        <f t="shared" si="0"/>
        <v>1000</v>
      </c>
      <c r="F65">
        <v>60</v>
      </c>
      <c r="G65">
        <f t="shared" si="1"/>
        <v>940</v>
      </c>
      <c r="H65" s="1">
        <f t="shared" si="2"/>
        <v>0.06</v>
      </c>
    </row>
    <row r="66" spans="1:8">
      <c r="B66" s="15">
        <v>4</v>
      </c>
      <c r="C66">
        <v>760</v>
      </c>
      <c r="D66">
        <v>760</v>
      </c>
      <c r="E66">
        <f t="shared" si="0"/>
        <v>1520</v>
      </c>
      <c r="F66">
        <v>130</v>
      </c>
      <c r="G66">
        <f t="shared" si="1"/>
        <v>1390</v>
      </c>
      <c r="H66" s="1">
        <f t="shared" si="2"/>
        <v>8.5526315789473686E-2</v>
      </c>
    </row>
    <row r="67" spans="1:8">
      <c r="B67" s="15">
        <v>5</v>
      </c>
      <c r="C67">
        <f>250+250</f>
        <v>500</v>
      </c>
      <c r="D67">
        <f>250+250</f>
        <v>500</v>
      </c>
      <c r="E67">
        <f t="shared" si="0"/>
        <v>1000</v>
      </c>
      <c r="G67">
        <f t="shared" si="1"/>
        <v>1000</v>
      </c>
      <c r="H67" s="1">
        <f t="shared" si="2"/>
        <v>0</v>
      </c>
    </row>
    <row r="68" spans="1:8">
      <c r="B68" s="4">
        <v>6</v>
      </c>
      <c r="C68">
        <v>900</v>
      </c>
      <c r="D68">
        <v>900</v>
      </c>
      <c r="E68">
        <f t="shared" ref="E68:E131" si="3">$C68+D68</f>
        <v>1800</v>
      </c>
      <c r="F68">
        <v>120</v>
      </c>
      <c r="G68">
        <f t="shared" ref="G68:G131" si="4">$E68-F68</f>
        <v>1680</v>
      </c>
      <c r="H68" s="1">
        <f t="shared" ref="H68:H131" si="5">$F68/E68</f>
        <v>6.6666666666666666E-2</v>
      </c>
    </row>
    <row r="69" spans="1:8">
      <c r="A69" s="2">
        <v>45759</v>
      </c>
      <c r="B69" s="4">
        <v>1</v>
      </c>
      <c r="C69">
        <v>500</v>
      </c>
      <c r="D69">
        <v>500</v>
      </c>
      <c r="E69">
        <f t="shared" si="3"/>
        <v>1000</v>
      </c>
      <c r="F69">
        <v>60</v>
      </c>
      <c r="G69">
        <f t="shared" si="4"/>
        <v>940</v>
      </c>
      <c r="H69" s="1">
        <f t="shared" si="5"/>
        <v>0.06</v>
      </c>
    </row>
    <row r="70" spans="1:8">
      <c r="B70" s="15">
        <v>2</v>
      </c>
      <c r="C70">
        <v>760</v>
      </c>
      <c r="D70">
        <v>760</v>
      </c>
      <c r="E70">
        <f t="shared" si="3"/>
        <v>1520</v>
      </c>
      <c r="F70">
        <v>40</v>
      </c>
      <c r="G70">
        <f t="shared" si="4"/>
        <v>1480</v>
      </c>
      <c r="H70" s="1">
        <f t="shared" si="5"/>
        <v>2.6315789473684209E-2</v>
      </c>
    </row>
    <row r="71" spans="1:8">
      <c r="B71" s="4">
        <v>3</v>
      </c>
      <c r="C71">
        <v>500</v>
      </c>
      <c r="D71">
        <v>500</v>
      </c>
      <c r="E71">
        <f t="shared" si="3"/>
        <v>1000</v>
      </c>
      <c r="F71">
        <v>25</v>
      </c>
      <c r="G71">
        <f t="shared" si="4"/>
        <v>975</v>
      </c>
      <c r="H71" s="1">
        <f t="shared" si="5"/>
        <v>2.5000000000000001E-2</v>
      </c>
    </row>
    <row r="72" spans="1:8">
      <c r="B72" s="15">
        <v>4</v>
      </c>
      <c r="C72">
        <v>760</v>
      </c>
      <c r="D72">
        <v>760</v>
      </c>
      <c r="E72">
        <f t="shared" si="3"/>
        <v>1520</v>
      </c>
      <c r="F72">
        <v>60</v>
      </c>
      <c r="G72">
        <f t="shared" si="4"/>
        <v>1460</v>
      </c>
      <c r="H72" s="1">
        <f t="shared" si="5"/>
        <v>3.9473684210526314E-2</v>
      </c>
    </row>
    <row r="73" spans="1:8">
      <c r="B73" s="15">
        <v>5</v>
      </c>
      <c r="C73">
        <f>250+250</f>
        <v>500</v>
      </c>
      <c r="D73">
        <f>250+250</f>
        <v>500</v>
      </c>
      <c r="E73">
        <f t="shared" si="3"/>
        <v>1000</v>
      </c>
      <c r="G73">
        <f t="shared" si="4"/>
        <v>1000</v>
      </c>
      <c r="H73" s="1">
        <f t="shared" si="5"/>
        <v>0</v>
      </c>
    </row>
    <row r="74" spans="1:8">
      <c r="B74" s="4">
        <v>6</v>
      </c>
      <c r="C74">
        <v>900</v>
      </c>
      <c r="D74">
        <v>900</v>
      </c>
      <c r="E74">
        <f t="shared" si="3"/>
        <v>1800</v>
      </c>
      <c r="F74">
        <v>95</v>
      </c>
      <c r="G74">
        <f t="shared" si="4"/>
        <v>1705</v>
      </c>
      <c r="H74" s="1">
        <f t="shared" si="5"/>
        <v>5.2777777777777778E-2</v>
      </c>
    </row>
    <row r="75" spans="1:8">
      <c r="A75" s="2">
        <v>45760</v>
      </c>
      <c r="B75" s="4">
        <v>1</v>
      </c>
      <c r="C75">
        <v>500</v>
      </c>
      <c r="D75">
        <v>500</v>
      </c>
      <c r="E75">
        <f t="shared" si="3"/>
        <v>1000</v>
      </c>
      <c r="F75">
        <v>55</v>
      </c>
      <c r="G75">
        <f t="shared" si="4"/>
        <v>945</v>
      </c>
      <c r="H75" s="1">
        <f t="shared" si="5"/>
        <v>5.5E-2</v>
      </c>
    </row>
    <row r="76" spans="1:8">
      <c r="B76" s="15">
        <v>2</v>
      </c>
      <c r="C76">
        <v>760</v>
      </c>
      <c r="D76">
        <v>760</v>
      </c>
      <c r="E76">
        <f t="shared" si="3"/>
        <v>1520</v>
      </c>
      <c r="F76">
        <v>30</v>
      </c>
      <c r="G76">
        <f t="shared" si="4"/>
        <v>1490</v>
      </c>
      <c r="H76" s="1">
        <f t="shared" si="5"/>
        <v>1.9736842105263157E-2</v>
      </c>
    </row>
    <row r="77" spans="1:8">
      <c r="B77" s="4">
        <v>3</v>
      </c>
      <c r="C77">
        <v>500</v>
      </c>
      <c r="D77">
        <v>500</v>
      </c>
      <c r="E77">
        <f t="shared" si="3"/>
        <v>1000</v>
      </c>
      <c r="F77">
        <v>70</v>
      </c>
      <c r="G77">
        <f t="shared" si="4"/>
        <v>930</v>
      </c>
      <c r="H77" s="1">
        <f t="shared" si="5"/>
        <v>7.0000000000000007E-2</v>
      </c>
    </row>
    <row r="78" spans="1:8">
      <c r="B78" s="15">
        <v>4</v>
      </c>
      <c r="C78">
        <v>760</v>
      </c>
      <c r="D78">
        <v>760</v>
      </c>
      <c r="E78">
        <f t="shared" si="3"/>
        <v>1520</v>
      </c>
      <c r="F78">
        <v>50</v>
      </c>
      <c r="G78">
        <f t="shared" si="4"/>
        <v>1470</v>
      </c>
      <c r="H78" s="1">
        <f t="shared" si="5"/>
        <v>3.2894736842105261E-2</v>
      </c>
    </row>
    <row r="79" spans="1:8">
      <c r="B79" s="15">
        <v>5</v>
      </c>
      <c r="C79">
        <f>250+250</f>
        <v>500</v>
      </c>
      <c r="D79">
        <f>250+250</f>
        <v>500</v>
      </c>
      <c r="E79">
        <f t="shared" si="3"/>
        <v>1000</v>
      </c>
      <c r="G79">
        <f t="shared" si="4"/>
        <v>1000</v>
      </c>
      <c r="H79" s="1">
        <f t="shared" si="5"/>
        <v>0</v>
      </c>
    </row>
    <row r="80" spans="1:8">
      <c r="B80" s="4">
        <v>6</v>
      </c>
      <c r="C80">
        <v>900</v>
      </c>
      <c r="D80">
        <v>900</v>
      </c>
      <c r="E80">
        <f t="shared" si="3"/>
        <v>1800</v>
      </c>
      <c r="F80">
        <v>130</v>
      </c>
      <c r="G80">
        <f t="shared" si="4"/>
        <v>1670</v>
      </c>
      <c r="H80" s="1">
        <f t="shared" si="5"/>
        <v>7.2222222222222215E-2</v>
      </c>
    </row>
    <row r="81" spans="1:9">
      <c r="A81" s="2">
        <v>45761</v>
      </c>
      <c r="B81" s="4">
        <v>1</v>
      </c>
      <c r="C81">
        <v>500</v>
      </c>
      <c r="D81">
        <v>500</v>
      </c>
      <c r="E81">
        <f t="shared" si="3"/>
        <v>1000</v>
      </c>
      <c r="F81">
        <v>120</v>
      </c>
      <c r="G81">
        <f t="shared" si="4"/>
        <v>880</v>
      </c>
      <c r="H81" s="1">
        <f t="shared" si="5"/>
        <v>0.12</v>
      </c>
    </row>
    <row r="82" spans="1:9">
      <c r="B82" s="15">
        <v>2</v>
      </c>
      <c r="C82">
        <v>760</v>
      </c>
      <c r="D82">
        <v>760</v>
      </c>
      <c r="E82">
        <f t="shared" si="3"/>
        <v>1520</v>
      </c>
      <c r="F82">
        <v>35</v>
      </c>
      <c r="G82">
        <f t="shared" si="4"/>
        <v>1485</v>
      </c>
      <c r="H82" s="1">
        <f t="shared" si="5"/>
        <v>2.3026315789473683E-2</v>
      </c>
    </row>
    <row r="83" spans="1:9">
      <c r="B83" s="4">
        <v>3</v>
      </c>
      <c r="C83">
        <v>500</v>
      </c>
      <c r="D83">
        <v>500</v>
      </c>
      <c r="E83">
        <f t="shared" si="3"/>
        <v>1000</v>
      </c>
      <c r="F83">
        <v>100</v>
      </c>
      <c r="G83">
        <f t="shared" si="4"/>
        <v>900</v>
      </c>
      <c r="H83" s="1">
        <f t="shared" si="5"/>
        <v>0.1</v>
      </c>
    </row>
    <row r="84" spans="1:9">
      <c r="B84" s="15">
        <v>4</v>
      </c>
      <c r="C84">
        <v>760</v>
      </c>
      <c r="D84">
        <v>760</v>
      </c>
      <c r="E84">
        <f t="shared" si="3"/>
        <v>1520</v>
      </c>
      <c r="F84">
        <v>70</v>
      </c>
      <c r="G84">
        <f t="shared" si="4"/>
        <v>1450</v>
      </c>
      <c r="H84" s="1">
        <f t="shared" si="5"/>
        <v>4.6052631578947366E-2</v>
      </c>
    </row>
    <row r="85" spans="1:9">
      <c r="B85" s="15">
        <v>5</v>
      </c>
      <c r="C85">
        <f>250+250</f>
        <v>500</v>
      </c>
      <c r="D85">
        <f>250+250</f>
        <v>500</v>
      </c>
      <c r="E85">
        <f t="shared" si="3"/>
        <v>1000</v>
      </c>
      <c r="F85">
        <v>180</v>
      </c>
      <c r="G85">
        <f t="shared" si="4"/>
        <v>820</v>
      </c>
      <c r="H85" s="1">
        <f t="shared" si="5"/>
        <v>0.18</v>
      </c>
    </row>
    <row r="86" spans="1:9">
      <c r="B86" s="4">
        <v>6</v>
      </c>
      <c r="C86">
        <f>900</f>
        <v>900</v>
      </c>
      <c r="D86">
        <f>900</f>
        <v>900</v>
      </c>
      <c r="E86">
        <f t="shared" si="3"/>
        <v>1800</v>
      </c>
      <c r="F86">
        <v>250</v>
      </c>
      <c r="G86">
        <f t="shared" si="4"/>
        <v>1550</v>
      </c>
      <c r="H86" s="1">
        <f t="shared" si="5"/>
        <v>0.1388888888888889</v>
      </c>
    </row>
    <row r="87" spans="1:9">
      <c r="A87" s="2">
        <v>45762</v>
      </c>
      <c r="B87" s="4">
        <v>1</v>
      </c>
      <c r="C87">
        <v>500</v>
      </c>
      <c r="D87">
        <v>500</v>
      </c>
      <c r="E87">
        <f t="shared" si="3"/>
        <v>1000</v>
      </c>
      <c r="F87">
        <v>75</v>
      </c>
      <c r="G87">
        <f t="shared" si="4"/>
        <v>925</v>
      </c>
      <c r="H87" s="1">
        <f t="shared" si="5"/>
        <v>7.4999999999999997E-2</v>
      </c>
    </row>
    <row r="88" spans="1:9">
      <c r="B88" s="15">
        <v>2</v>
      </c>
      <c r="C88">
        <v>700</v>
      </c>
      <c r="D88">
        <v>760</v>
      </c>
      <c r="E88">
        <f t="shared" si="3"/>
        <v>1460</v>
      </c>
      <c r="F88">
        <v>80</v>
      </c>
      <c r="G88">
        <f t="shared" si="4"/>
        <v>1380</v>
      </c>
      <c r="H88" s="1">
        <f t="shared" si="5"/>
        <v>5.4794520547945202E-2</v>
      </c>
    </row>
    <row r="89" spans="1:9">
      <c r="B89" s="4">
        <v>3</v>
      </c>
      <c r="C89">
        <v>450</v>
      </c>
      <c r="D89">
        <v>450</v>
      </c>
      <c r="E89">
        <f t="shared" si="3"/>
        <v>900</v>
      </c>
      <c r="F89">
        <v>65</v>
      </c>
      <c r="G89">
        <f t="shared" si="4"/>
        <v>835</v>
      </c>
      <c r="H89" s="1">
        <f t="shared" si="5"/>
        <v>7.2222222222222215E-2</v>
      </c>
    </row>
    <row r="90" spans="1:9">
      <c r="B90" s="15">
        <v>4</v>
      </c>
      <c r="C90">
        <v>700</v>
      </c>
      <c r="D90">
        <v>760</v>
      </c>
      <c r="E90">
        <f t="shared" si="3"/>
        <v>1460</v>
      </c>
      <c r="F90">
        <v>110</v>
      </c>
      <c r="G90">
        <f t="shared" si="4"/>
        <v>1350</v>
      </c>
      <c r="H90" s="1">
        <f t="shared" si="5"/>
        <v>7.5342465753424653E-2</v>
      </c>
    </row>
    <row r="91" spans="1:9">
      <c r="B91" s="15">
        <v>5</v>
      </c>
      <c r="C91">
        <f>250+250</f>
        <v>500</v>
      </c>
      <c r="D91">
        <f>250+250</f>
        <v>500</v>
      </c>
      <c r="E91">
        <f t="shared" si="3"/>
        <v>1000</v>
      </c>
      <c r="G91">
        <f t="shared" si="4"/>
        <v>1000</v>
      </c>
      <c r="H91" s="1">
        <f t="shared" si="5"/>
        <v>0</v>
      </c>
    </row>
    <row r="92" spans="1:9">
      <c r="B92" s="4">
        <v>6</v>
      </c>
      <c r="C92">
        <v>900</v>
      </c>
      <c r="D92">
        <v>900</v>
      </c>
      <c r="E92">
        <f t="shared" si="3"/>
        <v>1800</v>
      </c>
      <c r="F92">
        <v>290</v>
      </c>
      <c r="G92">
        <f t="shared" si="4"/>
        <v>1510</v>
      </c>
      <c r="H92" s="1">
        <f t="shared" si="5"/>
        <v>0.16111111111111112</v>
      </c>
    </row>
    <row r="93" spans="1:9">
      <c r="A93" s="2">
        <v>45763</v>
      </c>
      <c r="B93" s="4">
        <v>1</v>
      </c>
      <c r="C93">
        <v>560</v>
      </c>
      <c r="D93">
        <v>500</v>
      </c>
      <c r="E93">
        <f t="shared" si="3"/>
        <v>1060</v>
      </c>
      <c r="F93">
        <v>100</v>
      </c>
      <c r="G93">
        <f t="shared" si="4"/>
        <v>960</v>
      </c>
      <c r="H93" s="1">
        <f t="shared" si="5"/>
        <v>9.4339622641509441E-2</v>
      </c>
      <c r="I93" t="s">
        <v>25</v>
      </c>
    </row>
    <row r="94" spans="1:9">
      <c r="B94" s="15">
        <v>2</v>
      </c>
      <c r="C94">
        <v>700</v>
      </c>
      <c r="D94">
        <v>760</v>
      </c>
      <c r="E94">
        <f t="shared" si="3"/>
        <v>1460</v>
      </c>
      <c r="F94">
        <v>120</v>
      </c>
      <c r="G94">
        <f t="shared" si="4"/>
        <v>1340</v>
      </c>
      <c r="H94" s="1">
        <f t="shared" si="5"/>
        <v>8.2191780821917804E-2</v>
      </c>
    </row>
    <row r="95" spans="1:9">
      <c r="B95" s="4">
        <v>3</v>
      </c>
      <c r="C95">
        <v>300</v>
      </c>
      <c r="D95">
        <v>500</v>
      </c>
      <c r="E95">
        <f t="shared" si="3"/>
        <v>800</v>
      </c>
      <c r="F95">
        <v>30</v>
      </c>
      <c r="G95">
        <f t="shared" si="4"/>
        <v>770</v>
      </c>
      <c r="H95" s="1">
        <f t="shared" si="5"/>
        <v>3.7499999999999999E-2</v>
      </c>
    </row>
    <row r="96" spans="1:9">
      <c r="B96" s="15">
        <v>4</v>
      </c>
      <c r="C96">
        <v>700</v>
      </c>
      <c r="D96">
        <v>760</v>
      </c>
      <c r="E96">
        <f t="shared" si="3"/>
        <v>1460</v>
      </c>
      <c r="F96">
        <v>170</v>
      </c>
      <c r="G96">
        <f t="shared" si="4"/>
        <v>1290</v>
      </c>
      <c r="H96" s="1">
        <f t="shared" si="5"/>
        <v>0.11643835616438356</v>
      </c>
    </row>
    <row r="97" spans="1:8">
      <c r="B97" s="15">
        <v>5</v>
      </c>
      <c r="C97">
        <f>250+250</f>
        <v>500</v>
      </c>
      <c r="D97">
        <f>250+250</f>
        <v>500</v>
      </c>
      <c r="E97">
        <f t="shared" si="3"/>
        <v>1000</v>
      </c>
      <c r="G97">
        <f t="shared" si="4"/>
        <v>1000</v>
      </c>
      <c r="H97" s="1">
        <f t="shared" si="5"/>
        <v>0</v>
      </c>
    </row>
    <row r="98" spans="1:8">
      <c r="B98" s="4">
        <v>6</v>
      </c>
      <c r="C98">
        <v>810</v>
      </c>
      <c r="D98">
        <v>900</v>
      </c>
      <c r="E98">
        <f t="shared" si="3"/>
        <v>1710</v>
      </c>
      <c r="F98">
        <v>200</v>
      </c>
      <c r="G98">
        <f t="shared" si="4"/>
        <v>1510</v>
      </c>
      <c r="H98" s="1">
        <f t="shared" si="5"/>
        <v>0.11695906432748537</v>
      </c>
    </row>
    <row r="99" spans="1:8">
      <c r="A99" s="2">
        <v>45764</v>
      </c>
      <c r="B99" s="4">
        <v>1</v>
      </c>
      <c r="C99">
        <v>500</v>
      </c>
      <c r="D99">
        <v>500</v>
      </c>
      <c r="E99">
        <f t="shared" si="3"/>
        <v>1000</v>
      </c>
      <c r="G99">
        <f t="shared" si="4"/>
        <v>1000</v>
      </c>
      <c r="H99" s="1">
        <f t="shared" si="5"/>
        <v>0</v>
      </c>
    </row>
    <row r="100" spans="1:8">
      <c r="B100" s="15">
        <v>2</v>
      </c>
      <c r="C100">
        <v>760</v>
      </c>
      <c r="D100">
        <v>760</v>
      </c>
      <c r="E100">
        <f t="shared" si="3"/>
        <v>1520</v>
      </c>
      <c r="G100">
        <f t="shared" si="4"/>
        <v>1520</v>
      </c>
      <c r="H100" s="1">
        <f t="shared" si="5"/>
        <v>0</v>
      </c>
    </row>
    <row r="101" spans="1:8">
      <c r="B101" s="4">
        <v>3</v>
      </c>
      <c r="C101">
        <v>500</v>
      </c>
      <c r="D101">
        <v>500</v>
      </c>
      <c r="E101">
        <f t="shared" si="3"/>
        <v>1000</v>
      </c>
      <c r="G101">
        <f t="shared" si="4"/>
        <v>1000</v>
      </c>
      <c r="H101" s="1">
        <f t="shared" si="5"/>
        <v>0</v>
      </c>
    </row>
    <row r="102" spans="1:8">
      <c r="B102" s="15">
        <v>4</v>
      </c>
      <c r="C102">
        <v>760</v>
      </c>
      <c r="D102">
        <v>760</v>
      </c>
      <c r="E102">
        <f t="shared" si="3"/>
        <v>1520</v>
      </c>
      <c r="G102">
        <f t="shared" si="4"/>
        <v>1520</v>
      </c>
      <c r="H102" s="1">
        <f t="shared" si="5"/>
        <v>0</v>
      </c>
    </row>
    <row r="103" spans="1:8">
      <c r="B103" s="15">
        <v>5</v>
      </c>
      <c r="C103">
        <f>250+250</f>
        <v>500</v>
      </c>
      <c r="D103">
        <f>250+250</f>
        <v>500</v>
      </c>
      <c r="E103">
        <f t="shared" si="3"/>
        <v>1000</v>
      </c>
      <c r="G103">
        <f t="shared" si="4"/>
        <v>1000</v>
      </c>
      <c r="H103" s="1">
        <f t="shared" si="5"/>
        <v>0</v>
      </c>
    </row>
    <row r="104" spans="1:8">
      <c r="B104" s="4">
        <v>6</v>
      </c>
      <c r="C104">
        <v>900</v>
      </c>
      <c r="D104">
        <v>900</v>
      </c>
      <c r="E104">
        <f t="shared" si="3"/>
        <v>1800</v>
      </c>
      <c r="G104">
        <f t="shared" si="4"/>
        <v>1800</v>
      </c>
      <c r="H104" s="1">
        <f t="shared" si="5"/>
        <v>0</v>
      </c>
    </row>
    <row r="105" spans="1:8">
      <c r="A105" s="2">
        <v>45765</v>
      </c>
      <c r="B105" s="4">
        <v>1</v>
      </c>
      <c r="C105">
        <v>500</v>
      </c>
      <c r="D105">
        <v>500</v>
      </c>
      <c r="E105">
        <f t="shared" si="3"/>
        <v>1000</v>
      </c>
      <c r="F105">
        <v>110</v>
      </c>
      <c r="G105">
        <f t="shared" si="4"/>
        <v>890</v>
      </c>
      <c r="H105" s="1">
        <f t="shared" si="5"/>
        <v>0.11</v>
      </c>
    </row>
    <row r="106" spans="1:8">
      <c r="B106" s="15">
        <v>2</v>
      </c>
      <c r="C106">
        <v>760</v>
      </c>
      <c r="D106">
        <v>760</v>
      </c>
      <c r="E106">
        <f t="shared" si="3"/>
        <v>1520</v>
      </c>
      <c r="F106">
        <v>80</v>
      </c>
      <c r="G106">
        <f t="shared" si="4"/>
        <v>1440</v>
      </c>
      <c r="H106" s="1">
        <f t="shared" si="5"/>
        <v>5.2631578947368418E-2</v>
      </c>
    </row>
    <row r="107" spans="1:8">
      <c r="B107" s="4">
        <v>3</v>
      </c>
      <c r="C107">
        <v>500</v>
      </c>
      <c r="D107">
        <v>500</v>
      </c>
      <c r="E107">
        <f t="shared" si="3"/>
        <v>1000</v>
      </c>
      <c r="F107">
        <v>60</v>
      </c>
      <c r="G107">
        <f t="shared" si="4"/>
        <v>940</v>
      </c>
      <c r="H107" s="1">
        <f t="shared" si="5"/>
        <v>0.06</v>
      </c>
    </row>
    <row r="108" spans="1:8">
      <c r="B108" s="15">
        <v>4</v>
      </c>
      <c r="C108">
        <v>760</v>
      </c>
      <c r="D108">
        <v>760</v>
      </c>
      <c r="E108">
        <f t="shared" si="3"/>
        <v>1520</v>
      </c>
      <c r="F108">
        <v>35</v>
      </c>
      <c r="G108">
        <f t="shared" si="4"/>
        <v>1485</v>
      </c>
      <c r="H108" s="1">
        <f t="shared" si="5"/>
        <v>2.3026315789473683E-2</v>
      </c>
    </row>
    <row r="109" spans="1:8">
      <c r="B109" s="15">
        <v>5</v>
      </c>
      <c r="C109">
        <f>250+250</f>
        <v>500</v>
      </c>
      <c r="D109">
        <f>250+250</f>
        <v>500</v>
      </c>
      <c r="E109">
        <f t="shared" si="3"/>
        <v>1000</v>
      </c>
      <c r="G109">
        <f t="shared" si="4"/>
        <v>1000</v>
      </c>
      <c r="H109" s="1">
        <f t="shared" si="5"/>
        <v>0</v>
      </c>
    </row>
    <row r="110" spans="1:8">
      <c r="B110" s="4">
        <v>6</v>
      </c>
      <c r="C110">
        <v>900</v>
      </c>
      <c r="D110">
        <v>900</v>
      </c>
      <c r="E110">
        <f t="shared" si="3"/>
        <v>1800</v>
      </c>
      <c r="F110">
        <v>95</v>
      </c>
      <c r="G110">
        <f t="shared" si="4"/>
        <v>1705</v>
      </c>
      <c r="H110" s="1">
        <f t="shared" si="5"/>
        <v>5.2777777777777778E-2</v>
      </c>
    </row>
    <row r="111" spans="1:8">
      <c r="A111" s="2">
        <v>45766</v>
      </c>
      <c r="B111" s="4">
        <v>1</v>
      </c>
      <c r="C111">
        <v>500</v>
      </c>
      <c r="D111">
        <v>500</v>
      </c>
      <c r="E111">
        <f t="shared" si="3"/>
        <v>1000</v>
      </c>
      <c r="F111">
        <v>90</v>
      </c>
      <c r="G111">
        <f t="shared" si="4"/>
        <v>910</v>
      </c>
      <c r="H111" s="1">
        <f t="shared" si="5"/>
        <v>0.09</v>
      </c>
    </row>
    <row r="112" spans="1:8">
      <c r="B112" s="15">
        <v>2</v>
      </c>
      <c r="C112">
        <v>760</v>
      </c>
      <c r="D112">
        <v>760</v>
      </c>
      <c r="E112">
        <f t="shared" si="3"/>
        <v>1520</v>
      </c>
      <c r="F112">
        <v>75</v>
      </c>
      <c r="G112">
        <f t="shared" si="4"/>
        <v>1445</v>
      </c>
      <c r="H112" s="1">
        <f t="shared" si="5"/>
        <v>4.9342105263157895E-2</v>
      </c>
    </row>
    <row r="113" spans="1:8">
      <c r="B113" s="4">
        <v>3</v>
      </c>
      <c r="C113">
        <v>500</v>
      </c>
      <c r="D113">
        <v>500</v>
      </c>
      <c r="E113">
        <f t="shared" si="3"/>
        <v>1000</v>
      </c>
      <c r="F113">
        <v>40</v>
      </c>
      <c r="G113">
        <f t="shared" si="4"/>
        <v>960</v>
      </c>
      <c r="H113" s="1">
        <f t="shared" si="5"/>
        <v>0.04</v>
      </c>
    </row>
    <row r="114" spans="1:8">
      <c r="B114" s="15">
        <v>4</v>
      </c>
      <c r="C114">
        <v>760</v>
      </c>
      <c r="D114">
        <v>760</v>
      </c>
      <c r="E114">
        <f t="shared" si="3"/>
        <v>1520</v>
      </c>
      <c r="F114">
        <v>50</v>
      </c>
      <c r="G114">
        <f t="shared" si="4"/>
        <v>1470</v>
      </c>
      <c r="H114" s="1">
        <f t="shared" si="5"/>
        <v>3.2894736842105261E-2</v>
      </c>
    </row>
    <row r="115" spans="1:8">
      <c r="B115" s="15">
        <v>5</v>
      </c>
      <c r="C115">
        <f>250+250</f>
        <v>500</v>
      </c>
      <c r="D115">
        <f>250+250</f>
        <v>500</v>
      </c>
      <c r="E115">
        <f t="shared" si="3"/>
        <v>1000</v>
      </c>
      <c r="G115">
        <f t="shared" si="4"/>
        <v>1000</v>
      </c>
      <c r="H115" s="1">
        <f t="shared" si="5"/>
        <v>0</v>
      </c>
    </row>
    <row r="116" spans="1:8">
      <c r="B116" s="4">
        <v>6</v>
      </c>
      <c r="C116">
        <v>900</v>
      </c>
      <c r="D116">
        <v>900</v>
      </c>
      <c r="E116">
        <f t="shared" si="3"/>
        <v>1800</v>
      </c>
      <c r="F116">
        <v>70</v>
      </c>
      <c r="G116">
        <f t="shared" si="4"/>
        <v>1730</v>
      </c>
      <c r="H116" s="1">
        <f t="shared" si="5"/>
        <v>3.888888888888889E-2</v>
      </c>
    </row>
    <row r="117" spans="1:8">
      <c r="A117" s="2">
        <v>45767</v>
      </c>
      <c r="B117" s="4">
        <v>1</v>
      </c>
      <c r="C117">
        <v>500</v>
      </c>
      <c r="D117">
        <v>500</v>
      </c>
      <c r="E117">
        <f t="shared" si="3"/>
        <v>1000</v>
      </c>
      <c r="F117">
        <v>80</v>
      </c>
      <c r="G117">
        <f t="shared" si="4"/>
        <v>920</v>
      </c>
      <c r="H117" s="1">
        <f t="shared" si="5"/>
        <v>0.08</v>
      </c>
    </row>
    <row r="118" spans="1:8">
      <c r="B118" s="15">
        <v>2</v>
      </c>
      <c r="C118">
        <v>760</v>
      </c>
      <c r="D118">
        <v>760</v>
      </c>
      <c r="E118">
        <f t="shared" si="3"/>
        <v>1520</v>
      </c>
      <c r="F118">
        <v>50</v>
      </c>
      <c r="G118">
        <f t="shared" si="4"/>
        <v>1470</v>
      </c>
      <c r="H118" s="1">
        <f t="shared" si="5"/>
        <v>3.2894736842105261E-2</v>
      </c>
    </row>
    <row r="119" spans="1:8">
      <c r="B119" s="4">
        <v>3</v>
      </c>
      <c r="C119">
        <v>500</v>
      </c>
      <c r="D119">
        <v>500</v>
      </c>
      <c r="E119">
        <f t="shared" si="3"/>
        <v>1000</v>
      </c>
      <c r="F119">
        <v>65</v>
      </c>
      <c r="G119">
        <f t="shared" si="4"/>
        <v>935</v>
      </c>
      <c r="H119" s="1">
        <f t="shared" si="5"/>
        <v>6.5000000000000002E-2</v>
      </c>
    </row>
    <row r="120" spans="1:8">
      <c r="B120" s="15">
        <v>4</v>
      </c>
      <c r="C120">
        <v>760</v>
      </c>
      <c r="D120">
        <v>760</v>
      </c>
      <c r="E120">
        <f t="shared" si="3"/>
        <v>1520</v>
      </c>
      <c r="F120">
        <v>235</v>
      </c>
      <c r="G120">
        <f t="shared" si="4"/>
        <v>1285</v>
      </c>
      <c r="H120" s="1">
        <f t="shared" si="5"/>
        <v>0.15460526315789475</v>
      </c>
    </row>
    <row r="121" spans="1:8">
      <c r="B121" s="15">
        <v>5</v>
      </c>
      <c r="C121">
        <f>250+250</f>
        <v>500</v>
      </c>
      <c r="D121">
        <f>250+250</f>
        <v>500</v>
      </c>
      <c r="E121">
        <f t="shared" si="3"/>
        <v>1000</v>
      </c>
      <c r="G121">
        <f t="shared" si="4"/>
        <v>1000</v>
      </c>
      <c r="H121" s="1">
        <f t="shared" si="5"/>
        <v>0</v>
      </c>
    </row>
    <row r="122" spans="1:8">
      <c r="B122" s="4">
        <v>6</v>
      </c>
      <c r="C122">
        <v>900</v>
      </c>
      <c r="D122">
        <v>900</v>
      </c>
      <c r="E122">
        <f t="shared" si="3"/>
        <v>1800</v>
      </c>
      <c r="F122">
        <v>170</v>
      </c>
      <c r="G122">
        <f t="shared" si="4"/>
        <v>1630</v>
      </c>
      <c r="H122" s="1">
        <f t="shared" si="5"/>
        <v>9.4444444444444442E-2</v>
      </c>
    </row>
    <row r="123" spans="1:8">
      <c r="A123" s="2">
        <v>45768</v>
      </c>
      <c r="B123" s="4">
        <v>1</v>
      </c>
      <c r="C123">
        <v>500</v>
      </c>
      <c r="D123">
        <v>500</v>
      </c>
      <c r="E123">
        <f t="shared" si="3"/>
        <v>1000</v>
      </c>
      <c r="G123">
        <f t="shared" si="4"/>
        <v>1000</v>
      </c>
      <c r="H123" s="1">
        <f t="shared" si="5"/>
        <v>0</v>
      </c>
    </row>
    <row r="124" spans="1:8">
      <c r="B124" s="15">
        <v>2</v>
      </c>
      <c r="C124">
        <v>760</v>
      </c>
      <c r="D124">
        <v>760</v>
      </c>
      <c r="E124">
        <f t="shared" si="3"/>
        <v>1520</v>
      </c>
      <c r="G124">
        <f t="shared" si="4"/>
        <v>1520</v>
      </c>
      <c r="H124" s="1">
        <f t="shared" si="5"/>
        <v>0</v>
      </c>
    </row>
    <row r="125" spans="1:8">
      <c r="B125" s="4">
        <v>3</v>
      </c>
      <c r="C125">
        <v>500</v>
      </c>
      <c r="D125">
        <v>500</v>
      </c>
      <c r="E125">
        <f t="shared" si="3"/>
        <v>1000</v>
      </c>
      <c r="G125">
        <f t="shared" si="4"/>
        <v>1000</v>
      </c>
      <c r="H125" s="1">
        <f t="shared" si="5"/>
        <v>0</v>
      </c>
    </row>
    <row r="126" spans="1:8">
      <c r="B126" s="15">
        <v>4</v>
      </c>
      <c r="C126">
        <v>760</v>
      </c>
      <c r="D126">
        <v>760</v>
      </c>
      <c r="E126">
        <f t="shared" si="3"/>
        <v>1520</v>
      </c>
      <c r="G126">
        <f t="shared" si="4"/>
        <v>1520</v>
      </c>
      <c r="H126" s="1">
        <f t="shared" si="5"/>
        <v>0</v>
      </c>
    </row>
    <row r="127" spans="1:8">
      <c r="B127" s="15">
        <v>5</v>
      </c>
      <c r="C127">
        <f>250+250</f>
        <v>500</v>
      </c>
      <c r="D127">
        <f>250+250</f>
        <v>500</v>
      </c>
      <c r="E127">
        <f t="shared" si="3"/>
        <v>1000</v>
      </c>
      <c r="G127">
        <f t="shared" si="4"/>
        <v>1000</v>
      </c>
      <c r="H127" s="1">
        <f t="shared" si="5"/>
        <v>0</v>
      </c>
    </row>
    <row r="128" spans="1:8">
      <c r="B128" s="4">
        <v>6</v>
      </c>
      <c r="C128">
        <v>900</v>
      </c>
      <c r="D128">
        <f>900</f>
        <v>900</v>
      </c>
      <c r="E128">
        <f t="shared" si="3"/>
        <v>1800</v>
      </c>
      <c r="G128">
        <f t="shared" si="4"/>
        <v>1800</v>
      </c>
      <c r="H128" s="1">
        <f t="shared" si="5"/>
        <v>0</v>
      </c>
    </row>
    <row r="129" spans="1:8">
      <c r="A129" s="2">
        <v>45769</v>
      </c>
      <c r="B129" s="4">
        <v>1</v>
      </c>
      <c r="E129">
        <f t="shared" si="3"/>
        <v>0</v>
      </c>
      <c r="F129">
        <v>90</v>
      </c>
      <c r="G129">
        <f t="shared" si="4"/>
        <v>-90</v>
      </c>
      <c r="H129" s="1" t="e">
        <f t="shared" si="5"/>
        <v>#DIV/0!</v>
      </c>
    </row>
    <row r="130" spans="1:8">
      <c r="B130" s="15">
        <v>2</v>
      </c>
      <c r="E130">
        <f t="shared" si="3"/>
        <v>0</v>
      </c>
      <c r="F130">
        <v>110</v>
      </c>
      <c r="G130">
        <f t="shared" si="4"/>
        <v>-110</v>
      </c>
      <c r="H130" s="1" t="e">
        <f t="shared" si="5"/>
        <v>#DIV/0!</v>
      </c>
    </row>
    <row r="131" spans="1:8">
      <c r="B131" s="4">
        <v>3</v>
      </c>
      <c r="E131">
        <f t="shared" si="3"/>
        <v>0</v>
      </c>
      <c r="F131">
        <v>40</v>
      </c>
      <c r="G131">
        <f t="shared" si="4"/>
        <v>-40</v>
      </c>
      <c r="H131" s="1" t="e">
        <f t="shared" si="5"/>
        <v>#DIV/0!</v>
      </c>
    </row>
    <row r="132" spans="1:8">
      <c r="B132" s="15">
        <v>4</v>
      </c>
      <c r="E132">
        <f t="shared" ref="E132:E182" si="6">$C132+D132</f>
        <v>0</v>
      </c>
      <c r="F132">
        <v>35</v>
      </c>
      <c r="G132">
        <f t="shared" ref="G132:G182" si="7">$E132-F132</f>
        <v>-35</v>
      </c>
      <c r="H132" s="1" t="e">
        <f t="shared" ref="H132:H182" si="8">$F132/E132</f>
        <v>#DIV/0!</v>
      </c>
    </row>
    <row r="133" spans="1:8">
      <c r="B133" s="15">
        <v>5</v>
      </c>
      <c r="E133">
        <f t="shared" si="6"/>
        <v>0</v>
      </c>
      <c r="G133">
        <f t="shared" si="7"/>
        <v>0</v>
      </c>
      <c r="H133" s="1" t="e">
        <f t="shared" si="8"/>
        <v>#DIV/0!</v>
      </c>
    </row>
    <row r="134" spans="1:8">
      <c r="B134" s="4">
        <v>6</v>
      </c>
      <c r="E134">
        <f t="shared" si="6"/>
        <v>0</v>
      </c>
      <c r="F134">
        <v>115</v>
      </c>
      <c r="G134">
        <f t="shared" si="7"/>
        <v>-115</v>
      </c>
      <c r="H134" s="1" t="e">
        <f t="shared" si="8"/>
        <v>#DIV/0!</v>
      </c>
    </row>
    <row r="135" spans="1:8">
      <c r="A135" s="2">
        <v>45770</v>
      </c>
      <c r="B135" s="4">
        <v>1</v>
      </c>
      <c r="C135">
        <v>500</v>
      </c>
      <c r="D135">
        <v>500</v>
      </c>
      <c r="E135">
        <f t="shared" si="6"/>
        <v>1000</v>
      </c>
      <c r="F135">
        <v>50</v>
      </c>
      <c r="G135">
        <f t="shared" si="7"/>
        <v>950</v>
      </c>
      <c r="H135" s="1">
        <f t="shared" si="8"/>
        <v>0.05</v>
      </c>
    </row>
    <row r="136" spans="1:8">
      <c r="B136" s="15">
        <v>2</v>
      </c>
      <c r="C136">
        <v>760</v>
      </c>
      <c r="D136">
        <v>760</v>
      </c>
      <c r="E136">
        <f t="shared" si="6"/>
        <v>1520</v>
      </c>
      <c r="F136">
        <v>80</v>
      </c>
      <c r="G136">
        <f t="shared" si="7"/>
        <v>1440</v>
      </c>
      <c r="H136" s="1">
        <f t="shared" si="8"/>
        <v>5.2631578947368418E-2</v>
      </c>
    </row>
    <row r="137" spans="1:8">
      <c r="B137" s="4">
        <v>3</v>
      </c>
      <c r="C137">
        <v>500</v>
      </c>
      <c r="D137">
        <v>500</v>
      </c>
      <c r="E137">
        <f t="shared" si="6"/>
        <v>1000</v>
      </c>
      <c r="F137">
        <v>35</v>
      </c>
      <c r="G137">
        <f t="shared" si="7"/>
        <v>965</v>
      </c>
      <c r="H137" s="1">
        <f t="shared" si="8"/>
        <v>3.5000000000000003E-2</v>
      </c>
    </row>
    <row r="138" spans="1:8">
      <c r="B138" s="15">
        <v>4</v>
      </c>
      <c r="C138">
        <v>760</v>
      </c>
      <c r="D138">
        <v>760</v>
      </c>
      <c r="E138">
        <f t="shared" si="6"/>
        <v>1520</v>
      </c>
      <c r="F138">
        <v>65</v>
      </c>
      <c r="G138">
        <f t="shared" si="7"/>
        <v>1455</v>
      </c>
      <c r="H138" s="1">
        <f t="shared" si="8"/>
        <v>4.2763157894736843E-2</v>
      </c>
    </row>
    <row r="139" spans="1:8">
      <c r="B139" s="15">
        <v>5</v>
      </c>
      <c r="C139">
        <v>500</v>
      </c>
      <c r="D139">
        <v>500</v>
      </c>
      <c r="E139">
        <f t="shared" si="6"/>
        <v>1000</v>
      </c>
      <c r="G139">
        <f t="shared" si="7"/>
        <v>1000</v>
      </c>
      <c r="H139" s="1">
        <f t="shared" si="8"/>
        <v>0</v>
      </c>
    </row>
    <row r="140" spans="1:8">
      <c r="B140" s="4">
        <v>6</v>
      </c>
      <c r="C140">
        <v>900</v>
      </c>
      <c r="D140">
        <v>900</v>
      </c>
      <c r="E140">
        <f t="shared" si="6"/>
        <v>1800</v>
      </c>
      <c r="F140">
        <v>120</v>
      </c>
      <c r="G140">
        <f t="shared" si="7"/>
        <v>1680</v>
      </c>
      <c r="H140" s="1">
        <f t="shared" si="8"/>
        <v>6.6666666666666666E-2</v>
      </c>
    </row>
    <row r="141" spans="1:8">
      <c r="A141" s="2">
        <v>45771</v>
      </c>
      <c r="B141" s="4">
        <v>1</v>
      </c>
      <c r="C141">
        <v>500</v>
      </c>
      <c r="D141">
        <v>500</v>
      </c>
      <c r="E141">
        <f t="shared" si="6"/>
        <v>1000</v>
      </c>
      <c r="F141">
        <v>35</v>
      </c>
      <c r="G141">
        <f t="shared" si="7"/>
        <v>965</v>
      </c>
      <c r="H141" s="1">
        <f t="shared" si="8"/>
        <v>3.5000000000000003E-2</v>
      </c>
    </row>
    <row r="142" spans="1:8">
      <c r="B142" s="15">
        <v>2</v>
      </c>
      <c r="C142">
        <v>760</v>
      </c>
      <c r="D142">
        <v>760</v>
      </c>
      <c r="E142">
        <f t="shared" si="6"/>
        <v>1520</v>
      </c>
      <c r="F142">
        <v>30</v>
      </c>
      <c r="G142">
        <f t="shared" si="7"/>
        <v>1490</v>
      </c>
      <c r="H142" s="1">
        <f t="shared" si="8"/>
        <v>1.9736842105263157E-2</v>
      </c>
    </row>
    <row r="143" spans="1:8">
      <c r="B143" s="4">
        <v>3</v>
      </c>
      <c r="C143">
        <v>500</v>
      </c>
      <c r="D143">
        <v>500</v>
      </c>
      <c r="E143">
        <f t="shared" si="6"/>
        <v>1000</v>
      </c>
      <c r="F143">
        <v>55</v>
      </c>
      <c r="G143">
        <f t="shared" si="7"/>
        <v>945</v>
      </c>
      <c r="H143" s="1">
        <f t="shared" si="8"/>
        <v>5.5E-2</v>
      </c>
    </row>
    <row r="144" spans="1:8">
      <c r="B144" s="15">
        <v>4</v>
      </c>
      <c r="C144">
        <v>760</v>
      </c>
      <c r="D144">
        <v>760</v>
      </c>
      <c r="E144">
        <f t="shared" si="6"/>
        <v>1520</v>
      </c>
      <c r="F144">
        <v>40</v>
      </c>
      <c r="G144">
        <f t="shared" si="7"/>
        <v>1480</v>
      </c>
      <c r="H144" s="1">
        <f t="shared" si="8"/>
        <v>2.6315789473684209E-2</v>
      </c>
    </row>
    <row r="145" spans="1:8">
      <c r="B145" s="15">
        <v>5</v>
      </c>
      <c r="C145">
        <v>500</v>
      </c>
      <c r="D145">
        <v>500</v>
      </c>
      <c r="E145">
        <f t="shared" si="6"/>
        <v>1000</v>
      </c>
      <c r="G145">
        <f t="shared" si="7"/>
        <v>1000</v>
      </c>
      <c r="H145" s="1">
        <f t="shared" si="8"/>
        <v>0</v>
      </c>
    </row>
    <row r="146" spans="1:8">
      <c r="B146" s="4">
        <v>6</v>
      </c>
      <c r="C146">
        <v>900</v>
      </c>
      <c r="D146">
        <v>900</v>
      </c>
      <c r="E146">
        <f t="shared" si="6"/>
        <v>1800</v>
      </c>
      <c r="F146">
        <v>115</v>
      </c>
      <c r="G146">
        <f t="shared" si="7"/>
        <v>1685</v>
      </c>
      <c r="H146" s="1">
        <f t="shared" si="8"/>
        <v>6.3888888888888884E-2</v>
      </c>
    </row>
    <row r="147" spans="1:8">
      <c r="A147" s="2">
        <v>45772</v>
      </c>
      <c r="B147" s="4">
        <v>1</v>
      </c>
      <c r="C147">
        <v>500</v>
      </c>
      <c r="D147">
        <v>500</v>
      </c>
      <c r="E147">
        <f t="shared" si="6"/>
        <v>1000</v>
      </c>
      <c r="F147">
        <v>40</v>
      </c>
      <c r="G147">
        <f t="shared" si="7"/>
        <v>960</v>
      </c>
      <c r="H147" s="1">
        <f t="shared" si="8"/>
        <v>0.04</v>
      </c>
    </row>
    <row r="148" spans="1:8">
      <c r="B148" s="15">
        <v>2</v>
      </c>
      <c r="C148">
        <v>760</v>
      </c>
      <c r="D148">
        <v>760</v>
      </c>
      <c r="E148">
        <f t="shared" si="6"/>
        <v>1520</v>
      </c>
      <c r="F148">
        <v>35</v>
      </c>
      <c r="G148">
        <f t="shared" si="7"/>
        <v>1485</v>
      </c>
      <c r="H148" s="1">
        <f t="shared" si="8"/>
        <v>2.3026315789473683E-2</v>
      </c>
    </row>
    <row r="149" spans="1:8">
      <c r="B149" s="4">
        <v>3</v>
      </c>
      <c r="C149">
        <v>500</v>
      </c>
      <c r="D149">
        <v>500</v>
      </c>
      <c r="E149">
        <f t="shared" si="6"/>
        <v>1000</v>
      </c>
      <c r="F149">
        <v>60</v>
      </c>
      <c r="G149">
        <f t="shared" si="7"/>
        <v>940</v>
      </c>
      <c r="H149" s="1">
        <f t="shared" si="8"/>
        <v>0.06</v>
      </c>
    </row>
    <row r="150" spans="1:8">
      <c r="B150" s="15">
        <v>4</v>
      </c>
      <c r="C150">
        <v>760</v>
      </c>
      <c r="D150">
        <v>760</v>
      </c>
      <c r="E150">
        <f t="shared" si="6"/>
        <v>1520</v>
      </c>
      <c r="F150">
        <v>40</v>
      </c>
      <c r="G150">
        <f t="shared" si="7"/>
        <v>1480</v>
      </c>
      <c r="H150" s="1">
        <f t="shared" si="8"/>
        <v>2.6315789473684209E-2</v>
      </c>
    </row>
    <row r="151" spans="1:8">
      <c r="B151" s="15">
        <v>5</v>
      </c>
      <c r="C151">
        <v>500</v>
      </c>
      <c r="D151">
        <v>500</v>
      </c>
      <c r="E151">
        <f t="shared" si="6"/>
        <v>1000</v>
      </c>
      <c r="G151">
        <f>$E151-F151</f>
        <v>1000</v>
      </c>
      <c r="H151" s="1">
        <f>$F151/E151</f>
        <v>0</v>
      </c>
    </row>
    <row r="152" spans="1:8">
      <c r="B152" s="4">
        <v>6</v>
      </c>
      <c r="C152">
        <v>900</v>
      </c>
      <c r="D152">
        <v>900</v>
      </c>
      <c r="E152">
        <f t="shared" si="6"/>
        <v>1800</v>
      </c>
      <c r="F152">
        <v>215</v>
      </c>
      <c r="G152">
        <f>$E152-F152</f>
        <v>1585</v>
      </c>
      <c r="H152" s="1">
        <f>$F152/E152</f>
        <v>0.11944444444444445</v>
      </c>
    </row>
    <row r="153" spans="1:8">
      <c r="A153" s="2">
        <v>45773</v>
      </c>
      <c r="B153" s="4">
        <v>1</v>
      </c>
      <c r="C153">
        <v>500</v>
      </c>
      <c r="D153">
        <v>500</v>
      </c>
      <c r="E153">
        <f t="shared" si="6"/>
        <v>1000</v>
      </c>
      <c r="F153">
        <v>30</v>
      </c>
      <c r="G153">
        <f t="shared" si="7"/>
        <v>970</v>
      </c>
      <c r="H153" s="1">
        <f t="shared" si="8"/>
        <v>0.03</v>
      </c>
    </row>
    <row r="154" spans="1:8">
      <c r="B154" s="15">
        <v>2</v>
      </c>
      <c r="C154">
        <v>760</v>
      </c>
      <c r="D154">
        <v>760</v>
      </c>
      <c r="E154">
        <f t="shared" si="6"/>
        <v>1520</v>
      </c>
      <c r="F154">
        <v>55</v>
      </c>
      <c r="G154">
        <f t="shared" si="7"/>
        <v>1465</v>
      </c>
      <c r="H154" s="1">
        <f t="shared" si="8"/>
        <v>3.6184210526315791E-2</v>
      </c>
    </row>
    <row r="155" spans="1:8">
      <c r="B155" s="4">
        <v>3</v>
      </c>
      <c r="C155">
        <v>500</v>
      </c>
      <c r="D155">
        <v>500</v>
      </c>
      <c r="E155">
        <f t="shared" si="6"/>
        <v>1000</v>
      </c>
      <c r="F155">
        <v>40</v>
      </c>
      <c r="G155">
        <f t="shared" si="7"/>
        <v>960</v>
      </c>
      <c r="H155" s="1">
        <f t="shared" si="8"/>
        <v>0.04</v>
      </c>
    </row>
    <row r="156" spans="1:8">
      <c r="B156" s="15">
        <v>4</v>
      </c>
      <c r="C156">
        <v>760</v>
      </c>
      <c r="D156">
        <v>760</v>
      </c>
      <c r="E156">
        <f t="shared" si="6"/>
        <v>1520</v>
      </c>
      <c r="F156">
        <v>35</v>
      </c>
      <c r="G156">
        <f t="shared" si="7"/>
        <v>1485</v>
      </c>
      <c r="H156" s="1">
        <f t="shared" si="8"/>
        <v>2.3026315789473683E-2</v>
      </c>
    </row>
    <row r="157" spans="1:8">
      <c r="B157" s="15">
        <v>5</v>
      </c>
      <c r="C157">
        <v>500</v>
      </c>
      <c r="D157">
        <v>500</v>
      </c>
      <c r="E157">
        <f t="shared" si="6"/>
        <v>1000</v>
      </c>
      <c r="G157">
        <f>$E157-F158</f>
        <v>855</v>
      </c>
      <c r="H157" s="1">
        <f>$F158/E157</f>
        <v>0.14499999999999999</v>
      </c>
    </row>
    <row r="158" spans="1:8">
      <c r="B158" s="4">
        <v>6</v>
      </c>
      <c r="C158">
        <v>900</v>
      </c>
      <c r="D158">
        <v>900</v>
      </c>
      <c r="E158">
        <f t="shared" si="6"/>
        <v>1800</v>
      </c>
      <c r="F158">
        <v>145</v>
      </c>
      <c r="G158">
        <f>$E158-F158</f>
        <v>1655</v>
      </c>
      <c r="H158" s="1">
        <f>F158/E158</f>
        <v>8.0555555555555561E-2</v>
      </c>
    </row>
    <row r="159" spans="1:8">
      <c r="A159" s="2">
        <v>45774</v>
      </c>
      <c r="B159" s="4">
        <v>1</v>
      </c>
      <c r="C159">
        <v>500</v>
      </c>
      <c r="D159">
        <v>500</v>
      </c>
      <c r="E159">
        <f t="shared" si="6"/>
        <v>1000</v>
      </c>
      <c r="F159">
        <v>75</v>
      </c>
      <c r="G159">
        <f t="shared" si="7"/>
        <v>925</v>
      </c>
      <c r="H159" s="1">
        <f t="shared" si="8"/>
        <v>7.4999999999999997E-2</v>
      </c>
    </row>
    <row r="160" spans="1:8">
      <c r="B160" s="15">
        <v>2</v>
      </c>
      <c r="C160">
        <v>760</v>
      </c>
      <c r="D160">
        <v>760</v>
      </c>
      <c r="E160">
        <f t="shared" si="6"/>
        <v>1520</v>
      </c>
      <c r="F160">
        <v>70</v>
      </c>
      <c r="G160">
        <f t="shared" si="7"/>
        <v>1450</v>
      </c>
      <c r="H160" s="1">
        <f t="shared" si="8"/>
        <v>4.6052631578947366E-2</v>
      </c>
    </row>
    <row r="161" spans="1:8">
      <c r="B161" s="4">
        <v>3</v>
      </c>
      <c r="C161">
        <v>500</v>
      </c>
      <c r="D161">
        <v>500</v>
      </c>
      <c r="E161">
        <f t="shared" si="6"/>
        <v>1000</v>
      </c>
      <c r="F161">
        <v>15</v>
      </c>
      <c r="G161">
        <f t="shared" si="7"/>
        <v>985</v>
      </c>
      <c r="H161" s="1">
        <f t="shared" si="8"/>
        <v>1.4999999999999999E-2</v>
      </c>
    </row>
    <row r="162" spans="1:8">
      <c r="B162" s="15">
        <v>4</v>
      </c>
      <c r="C162">
        <v>760</v>
      </c>
      <c r="D162">
        <v>760</v>
      </c>
      <c r="E162">
        <f t="shared" si="6"/>
        <v>1520</v>
      </c>
      <c r="F162">
        <v>60</v>
      </c>
      <c r="G162">
        <f t="shared" si="7"/>
        <v>1460</v>
      </c>
      <c r="H162" s="1">
        <f t="shared" si="8"/>
        <v>3.9473684210526314E-2</v>
      </c>
    </row>
    <row r="163" spans="1:8">
      <c r="B163" s="15">
        <v>5</v>
      </c>
      <c r="C163">
        <v>500</v>
      </c>
      <c r="D163">
        <v>500</v>
      </c>
      <c r="E163">
        <f t="shared" si="6"/>
        <v>1000</v>
      </c>
      <c r="G163">
        <f t="shared" si="7"/>
        <v>1000</v>
      </c>
      <c r="H163" s="1">
        <f t="shared" si="8"/>
        <v>0</v>
      </c>
    </row>
    <row r="164" spans="1:8">
      <c r="B164" s="4">
        <v>6</v>
      </c>
      <c r="C164">
        <v>900</v>
      </c>
      <c r="D164">
        <v>900</v>
      </c>
      <c r="E164">
        <f t="shared" si="6"/>
        <v>1800</v>
      </c>
      <c r="F164">
        <v>210</v>
      </c>
      <c r="G164">
        <f t="shared" si="7"/>
        <v>1590</v>
      </c>
      <c r="H164" s="1">
        <f t="shared" si="8"/>
        <v>0.11666666666666667</v>
      </c>
    </row>
    <row r="165" spans="1:8">
      <c r="A165" s="2">
        <v>45775</v>
      </c>
      <c r="B165" s="4">
        <v>1</v>
      </c>
      <c r="C165">
        <v>450</v>
      </c>
      <c r="D165">
        <v>500</v>
      </c>
      <c r="E165">
        <f t="shared" si="6"/>
        <v>950</v>
      </c>
      <c r="F165">
        <v>140</v>
      </c>
      <c r="G165">
        <f t="shared" si="7"/>
        <v>810</v>
      </c>
      <c r="H165" s="1">
        <f t="shared" si="8"/>
        <v>0.14736842105263157</v>
      </c>
    </row>
    <row r="166" spans="1:8">
      <c r="B166" s="15">
        <v>2</v>
      </c>
      <c r="C166">
        <v>760</v>
      </c>
      <c r="D166">
        <v>760</v>
      </c>
      <c r="E166">
        <f t="shared" si="6"/>
        <v>1520</v>
      </c>
      <c r="F166">
        <v>230</v>
      </c>
      <c r="G166">
        <f t="shared" si="7"/>
        <v>1290</v>
      </c>
      <c r="H166" s="1">
        <f t="shared" si="8"/>
        <v>0.15131578947368421</v>
      </c>
    </row>
    <row r="167" spans="1:8">
      <c r="B167" s="4">
        <v>3</v>
      </c>
      <c r="C167">
        <v>500</v>
      </c>
      <c r="D167">
        <v>500</v>
      </c>
      <c r="E167">
        <f t="shared" si="6"/>
        <v>1000</v>
      </c>
      <c r="F167">
        <v>20</v>
      </c>
      <c r="G167">
        <f t="shared" si="7"/>
        <v>980</v>
      </c>
      <c r="H167" s="1">
        <f t="shared" si="8"/>
        <v>0.02</v>
      </c>
    </row>
    <row r="168" spans="1:8">
      <c r="B168" s="15">
        <v>4</v>
      </c>
      <c r="C168">
        <v>760</v>
      </c>
      <c r="D168">
        <v>760</v>
      </c>
      <c r="E168">
        <f t="shared" si="6"/>
        <v>1520</v>
      </c>
      <c r="F168">
        <v>100</v>
      </c>
      <c r="G168">
        <f t="shared" si="7"/>
        <v>1420</v>
      </c>
      <c r="H168" s="1">
        <f t="shared" si="8"/>
        <v>6.5789473684210523E-2</v>
      </c>
    </row>
    <row r="169" spans="1:8">
      <c r="B169" s="15">
        <v>5</v>
      </c>
      <c r="C169">
        <v>500</v>
      </c>
      <c r="D169">
        <v>500</v>
      </c>
      <c r="E169">
        <f t="shared" si="6"/>
        <v>1000</v>
      </c>
      <c r="G169">
        <f t="shared" si="7"/>
        <v>1000</v>
      </c>
      <c r="H169" s="1">
        <f t="shared" si="8"/>
        <v>0</v>
      </c>
    </row>
    <row r="170" spans="1:8">
      <c r="B170" s="4">
        <v>6</v>
      </c>
      <c r="C170">
        <v>900</v>
      </c>
      <c r="D170">
        <v>900</v>
      </c>
      <c r="E170">
        <f t="shared" si="6"/>
        <v>1800</v>
      </c>
      <c r="F170">
        <v>300</v>
      </c>
      <c r="G170">
        <f t="shared" si="7"/>
        <v>1500</v>
      </c>
      <c r="H170" s="1">
        <f t="shared" si="8"/>
        <v>0.16666666666666666</v>
      </c>
    </row>
    <row r="171" spans="1:8">
      <c r="A171" s="2">
        <v>45776</v>
      </c>
      <c r="B171" s="4">
        <v>1</v>
      </c>
      <c r="C171">
        <v>450</v>
      </c>
      <c r="D171">
        <v>500</v>
      </c>
      <c r="E171">
        <f t="shared" si="6"/>
        <v>950</v>
      </c>
      <c r="G171">
        <f t="shared" si="7"/>
        <v>950</v>
      </c>
      <c r="H171" s="1">
        <f t="shared" si="8"/>
        <v>0</v>
      </c>
    </row>
    <row r="172" spans="1:8">
      <c r="B172" s="15">
        <v>2</v>
      </c>
      <c r="C172">
        <v>760</v>
      </c>
      <c r="D172">
        <v>760</v>
      </c>
      <c r="E172">
        <f t="shared" si="6"/>
        <v>1520</v>
      </c>
      <c r="G172">
        <f t="shared" si="7"/>
        <v>1520</v>
      </c>
      <c r="H172" s="1">
        <f t="shared" si="8"/>
        <v>0</v>
      </c>
    </row>
    <row r="173" spans="1:8">
      <c r="B173" s="4">
        <v>3</v>
      </c>
      <c r="C173">
        <v>500</v>
      </c>
      <c r="D173">
        <v>500</v>
      </c>
      <c r="E173">
        <f t="shared" si="6"/>
        <v>1000</v>
      </c>
      <c r="G173">
        <f t="shared" si="7"/>
        <v>1000</v>
      </c>
      <c r="H173" s="1">
        <f t="shared" si="8"/>
        <v>0</v>
      </c>
    </row>
    <row r="174" spans="1:8">
      <c r="B174" s="15">
        <v>4</v>
      </c>
      <c r="C174">
        <v>760</v>
      </c>
      <c r="D174">
        <v>760</v>
      </c>
      <c r="E174">
        <f t="shared" si="6"/>
        <v>1520</v>
      </c>
      <c r="G174">
        <f t="shared" si="7"/>
        <v>1520</v>
      </c>
      <c r="H174" s="1">
        <f t="shared" si="8"/>
        <v>0</v>
      </c>
    </row>
    <row r="175" spans="1:8">
      <c r="B175" s="15">
        <v>5</v>
      </c>
      <c r="C175">
        <v>500</v>
      </c>
      <c r="D175">
        <v>500</v>
      </c>
      <c r="E175">
        <f t="shared" si="6"/>
        <v>1000</v>
      </c>
      <c r="G175">
        <f t="shared" si="7"/>
        <v>1000</v>
      </c>
      <c r="H175" s="1">
        <f t="shared" si="8"/>
        <v>0</v>
      </c>
    </row>
    <row r="176" spans="1:8">
      <c r="B176" s="4">
        <v>6</v>
      </c>
      <c r="C176">
        <v>900</v>
      </c>
      <c r="D176">
        <v>900</v>
      </c>
      <c r="E176">
        <f t="shared" si="6"/>
        <v>1800</v>
      </c>
      <c r="G176">
        <f t="shared" si="7"/>
        <v>1800</v>
      </c>
      <c r="H176" s="1">
        <f t="shared" si="8"/>
        <v>0</v>
      </c>
    </row>
    <row r="177" spans="1:8">
      <c r="A177" s="2">
        <v>45777</v>
      </c>
      <c r="B177" s="4">
        <v>1</v>
      </c>
      <c r="C177">
        <v>500</v>
      </c>
      <c r="D177">
        <v>500</v>
      </c>
      <c r="E177">
        <f t="shared" si="6"/>
        <v>1000</v>
      </c>
      <c r="F177">
        <v>20</v>
      </c>
      <c r="G177">
        <f t="shared" si="7"/>
        <v>980</v>
      </c>
      <c r="H177" s="1">
        <f t="shared" si="8"/>
        <v>0.02</v>
      </c>
    </row>
    <row r="178" spans="1:8">
      <c r="B178" s="15">
        <v>2</v>
      </c>
      <c r="C178">
        <v>760</v>
      </c>
      <c r="D178">
        <v>760</v>
      </c>
      <c r="E178">
        <f t="shared" si="6"/>
        <v>1520</v>
      </c>
      <c r="F178">
        <v>80</v>
      </c>
      <c r="G178">
        <f t="shared" si="7"/>
        <v>1440</v>
      </c>
      <c r="H178" s="1">
        <f t="shared" si="8"/>
        <v>5.2631578947368418E-2</v>
      </c>
    </row>
    <row r="179" spans="1:8">
      <c r="B179" s="4">
        <v>3</v>
      </c>
      <c r="C179">
        <v>500</v>
      </c>
      <c r="D179">
        <v>500</v>
      </c>
      <c r="E179">
        <f t="shared" si="6"/>
        <v>1000</v>
      </c>
      <c r="F179">
        <v>25</v>
      </c>
      <c r="G179">
        <f t="shared" si="7"/>
        <v>975</v>
      </c>
      <c r="H179" s="1">
        <f t="shared" si="8"/>
        <v>2.5000000000000001E-2</v>
      </c>
    </row>
    <row r="180" spans="1:8">
      <c r="B180" s="15">
        <v>4</v>
      </c>
      <c r="C180">
        <v>760</v>
      </c>
      <c r="D180">
        <v>760</v>
      </c>
      <c r="E180">
        <f t="shared" si="6"/>
        <v>1520</v>
      </c>
      <c r="F180">
        <v>90</v>
      </c>
      <c r="G180">
        <f t="shared" si="7"/>
        <v>1430</v>
      </c>
      <c r="H180" s="1">
        <f t="shared" si="8"/>
        <v>5.921052631578947E-2</v>
      </c>
    </row>
    <row r="181" spans="1:8">
      <c r="B181" s="15">
        <v>5</v>
      </c>
      <c r="C181">
        <v>500</v>
      </c>
      <c r="D181">
        <v>500</v>
      </c>
      <c r="E181">
        <f t="shared" si="6"/>
        <v>1000</v>
      </c>
      <c r="F181">
        <v>75</v>
      </c>
      <c r="G181">
        <f t="shared" si="7"/>
        <v>925</v>
      </c>
      <c r="H181" s="1">
        <f t="shared" si="8"/>
        <v>7.4999999999999997E-2</v>
      </c>
    </row>
    <row r="182" spans="1:8">
      <c r="B182" s="4">
        <v>6</v>
      </c>
      <c r="C182">
        <v>900</v>
      </c>
      <c r="D182">
        <v>900</v>
      </c>
      <c r="E182">
        <f t="shared" si="6"/>
        <v>1800</v>
      </c>
      <c r="F182">
        <v>100</v>
      </c>
      <c r="G182">
        <f t="shared" si="7"/>
        <v>1700</v>
      </c>
      <c r="H182" s="1">
        <f t="shared" si="8"/>
        <v>5.5555555555555552E-2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23FB-1476-4125-860B-F8E793B21B34}">
  <sheetPr filterMode="1"/>
  <dimension ref="A1:L191"/>
  <sheetViews>
    <sheetView workbookViewId="0">
      <selection activeCell="J7" sqref="J7"/>
    </sheetView>
  </sheetViews>
  <sheetFormatPr baseColWidth="10" defaultRowHeight="14"/>
  <cols>
    <col min="3" max="8" width="10.9140625" style="4"/>
    <col min="9" max="9" width="13.9140625" style="4" customWidth="1"/>
    <col min="10" max="10" width="25.9140625" style="4" customWidth="1"/>
  </cols>
  <sheetData>
    <row r="1" spans="1:10" ht="20.5" thickBot="1">
      <c r="A1" s="97" t="s">
        <v>20</v>
      </c>
      <c r="B1" s="97"/>
      <c r="C1" s="97"/>
      <c r="D1" s="97"/>
      <c r="E1" s="97"/>
      <c r="F1" s="97"/>
      <c r="G1" s="97"/>
      <c r="H1" s="97"/>
    </row>
    <row r="2" spans="1:10" ht="36.5" thickBot="1">
      <c r="A2" s="22" t="s">
        <v>0</v>
      </c>
      <c r="B2" s="18" t="s">
        <v>1</v>
      </c>
      <c r="C2" s="18" t="s">
        <v>2</v>
      </c>
      <c r="D2" s="18" t="s">
        <v>3</v>
      </c>
      <c r="E2" s="18" t="s">
        <v>5</v>
      </c>
      <c r="F2" s="18" t="s">
        <v>4</v>
      </c>
      <c r="G2" s="18" t="s">
        <v>7</v>
      </c>
      <c r="H2" s="17" t="s">
        <v>8</v>
      </c>
      <c r="I2" s="64" t="s">
        <v>43</v>
      </c>
      <c r="J2" s="65" t="s">
        <v>42</v>
      </c>
    </row>
    <row r="3" spans="1:10" hidden="1">
      <c r="A3" s="2">
        <v>45778</v>
      </c>
      <c r="B3" s="4">
        <v>1</v>
      </c>
      <c r="C3" s="4">
        <v>500</v>
      </c>
      <c r="D3" s="4">
        <v>500</v>
      </c>
      <c r="E3" s="4">
        <f>$C3+D3</f>
        <v>1000</v>
      </c>
      <c r="F3" s="4">
        <v>35</v>
      </c>
      <c r="G3" s="4">
        <f>$E3-F3</f>
        <v>965</v>
      </c>
      <c r="H3" s="5">
        <f>$F3/E3</f>
        <v>3.5000000000000003E-2</v>
      </c>
      <c r="I3"/>
      <c r="J3"/>
    </row>
    <row r="4" spans="1:10">
      <c r="B4" s="15">
        <v>2</v>
      </c>
      <c r="C4" s="4">
        <v>750</v>
      </c>
      <c r="D4" s="4">
        <v>760</v>
      </c>
      <c r="E4" s="4">
        <f t="shared" ref="E4:E67" si="0">$C4+D4</f>
        <v>1510</v>
      </c>
      <c r="F4" s="4">
        <v>20</v>
      </c>
      <c r="G4" s="4">
        <f t="shared" ref="G4:G13" si="1">$E4-F4</f>
        <v>1490</v>
      </c>
      <c r="H4" s="5">
        <f t="shared" ref="H4:H67" si="2">$F4/E4</f>
        <v>1.3245033112582781E-2</v>
      </c>
      <c r="I4" s="4">
        <v>30</v>
      </c>
      <c r="J4" s="62">
        <f>$G4/I4</f>
        <v>49.666666666666664</v>
      </c>
    </row>
    <row r="5" spans="1:10" hidden="1">
      <c r="B5" s="4">
        <v>3</v>
      </c>
      <c r="C5" s="4">
        <v>500</v>
      </c>
      <c r="D5" s="4">
        <v>500</v>
      </c>
      <c r="E5" s="4">
        <f t="shared" si="0"/>
        <v>1000</v>
      </c>
      <c r="F5" s="4">
        <v>10</v>
      </c>
      <c r="G5" s="4">
        <f t="shared" si="1"/>
        <v>990</v>
      </c>
      <c r="H5" s="5">
        <f t="shared" si="2"/>
        <v>0.01</v>
      </c>
      <c r="I5"/>
      <c r="J5"/>
    </row>
    <row r="6" spans="1:10" hidden="1">
      <c r="B6" s="15">
        <v>4</v>
      </c>
      <c r="C6" s="4">
        <v>760</v>
      </c>
      <c r="D6" s="4">
        <v>760</v>
      </c>
      <c r="E6" s="4">
        <f t="shared" si="0"/>
        <v>1520</v>
      </c>
      <c r="F6" s="4">
        <v>50</v>
      </c>
      <c r="G6" s="4">
        <f t="shared" si="1"/>
        <v>1470</v>
      </c>
      <c r="H6" s="5">
        <f t="shared" si="2"/>
        <v>3.2894736842105261E-2</v>
      </c>
      <c r="I6"/>
      <c r="J6"/>
    </row>
    <row r="7" spans="1:10">
      <c r="B7" s="15">
        <v>5</v>
      </c>
      <c r="C7" s="4">
        <v>500</v>
      </c>
      <c r="D7" s="4">
        <v>500</v>
      </c>
      <c r="E7" s="4">
        <f t="shared" si="0"/>
        <v>1000</v>
      </c>
      <c r="G7" s="4">
        <f t="shared" si="1"/>
        <v>1000</v>
      </c>
      <c r="H7" s="5">
        <f t="shared" si="2"/>
        <v>0</v>
      </c>
      <c r="I7" s="4">
        <v>20</v>
      </c>
      <c r="J7" s="4">
        <f>$G7/I7</f>
        <v>50</v>
      </c>
    </row>
    <row r="8" spans="1:10" hidden="1">
      <c r="B8" s="4">
        <v>6</v>
      </c>
      <c r="C8" s="4">
        <v>900</v>
      </c>
      <c r="D8" s="4">
        <v>900</v>
      </c>
      <c r="E8" s="4">
        <f t="shared" si="0"/>
        <v>1800</v>
      </c>
      <c r="F8" s="4">
        <v>110</v>
      </c>
      <c r="G8" s="4">
        <f t="shared" si="1"/>
        <v>1690</v>
      </c>
      <c r="H8" s="5">
        <f t="shared" si="2"/>
        <v>6.1111111111111109E-2</v>
      </c>
      <c r="I8"/>
      <c r="J8"/>
    </row>
    <row r="9" spans="1:10" hidden="1">
      <c r="A9" s="2">
        <v>45779</v>
      </c>
      <c r="B9" s="4">
        <v>1</v>
      </c>
      <c r="C9" s="4">
        <v>500</v>
      </c>
      <c r="D9" s="4">
        <v>600</v>
      </c>
      <c r="E9" s="4">
        <f t="shared" si="0"/>
        <v>1100</v>
      </c>
      <c r="F9" s="4">
        <v>40</v>
      </c>
      <c r="G9" s="4">
        <f t="shared" si="1"/>
        <v>1060</v>
      </c>
      <c r="H9" s="5">
        <f t="shared" si="2"/>
        <v>3.6363636363636362E-2</v>
      </c>
      <c r="I9"/>
      <c r="J9"/>
    </row>
    <row r="10" spans="1:10">
      <c r="B10" s="15">
        <v>2</v>
      </c>
      <c r="C10" s="4">
        <v>760</v>
      </c>
      <c r="D10" s="4">
        <v>760</v>
      </c>
      <c r="E10" s="4">
        <f t="shared" si="0"/>
        <v>1520</v>
      </c>
      <c r="F10" s="4">
        <v>15</v>
      </c>
      <c r="G10" s="4">
        <f t="shared" si="1"/>
        <v>1505</v>
      </c>
      <c r="H10" s="5">
        <f t="shared" si="2"/>
        <v>9.8684210526315784E-3</v>
      </c>
      <c r="I10" s="4">
        <v>30</v>
      </c>
      <c r="J10" s="62">
        <f>$G10/I10</f>
        <v>50.166666666666664</v>
      </c>
    </row>
    <row r="11" spans="1:10" hidden="1">
      <c r="B11" s="4">
        <v>3</v>
      </c>
      <c r="C11" s="4">
        <v>500</v>
      </c>
      <c r="D11" s="4">
        <v>600</v>
      </c>
      <c r="E11" s="4">
        <f t="shared" si="0"/>
        <v>1100</v>
      </c>
      <c r="F11" s="4">
        <v>20</v>
      </c>
      <c r="G11" s="4">
        <f t="shared" si="1"/>
        <v>1080</v>
      </c>
      <c r="H11" s="5">
        <f t="shared" si="2"/>
        <v>1.8181818181818181E-2</v>
      </c>
      <c r="I11"/>
      <c r="J11"/>
    </row>
    <row r="12" spans="1:10" hidden="1">
      <c r="B12" s="15">
        <v>4</v>
      </c>
      <c r="C12" s="4">
        <v>760</v>
      </c>
      <c r="D12" s="4">
        <v>760</v>
      </c>
      <c r="E12" s="4">
        <f t="shared" si="0"/>
        <v>1520</v>
      </c>
      <c r="F12" s="4">
        <v>35</v>
      </c>
      <c r="G12" s="4">
        <f t="shared" si="1"/>
        <v>1485</v>
      </c>
      <c r="H12" s="5">
        <f t="shared" si="2"/>
        <v>2.3026315789473683E-2</v>
      </c>
      <c r="I12"/>
      <c r="J12"/>
    </row>
    <row r="13" spans="1:10">
      <c r="B13" s="15">
        <v>5</v>
      </c>
      <c r="C13" s="4">
        <v>500</v>
      </c>
      <c r="D13" s="4">
        <v>500</v>
      </c>
      <c r="E13" s="4">
        <f t="shared" si="0"/>
        <v>1000</v>
      </c>
      <c r="G13" s="4">
        <f t="shared" si="1"/>
        <v>1000</v>
      </c>
      <c r="H13" s="5">
        <f t="shared" si="2"/>
        <v>0</v>
      </c>
      <c r="I13" s="4">
        <v>20</v>
      </c>
      <c r="J13" s="62">
        <f>$G13/I13</f>
        <v>50</v>
      </c>
    </row>
    <row r="14" spans="1:10" hidden="1">
      <c r="B14" s="4">
        <v>6</v>
      </c>
      <c r="C14" s="4">
        <v>900</v>
      </c>
      <c r="D14" s="4">
        <v>700</v>
      </c>
      <c r="E14" s="4">
        <f t="shared" si="0"/>
        <v>1600</v>
      </c>
      <c r="F14" s="4">
        <v>145</v>
      </c>
      <c r="G14" s="4">
        <f>E14-F14</f>
        <v>1455</v>
      </c>
      <c r="H14" s="5">
        <f t="shared" si="2"/>
        <v>9.0624999999999997E-2</v>
      </c>
      <c r="I14"/>
      <c r="J14"/>
    </row>
    <row r="15" spans="1:10" hidden="1">
      <c r="A15" s="2">
        <v>45780</v>
      </c>
      <c r="B15" s="4">
        <v>1</v>
      </c>
      <c r="C15" s="4">
        <v>500</v>
      </c>
      <c r="D15" s="4">
        <v>500</v>
      </c>
      <c r="E15" s="4">
        <f t="shared" si="0"/>
        <v>1000</v>
      </c>
      <c r="F15" s="4">
        <v>75</v>
      </c>
      <c r="G15" s="4">
        <f>E15-F15</f>
        <v>925</v>
      </c>
      <c r="H15" s="5">
        <f t="shared" si="2"/>
        <v>7.4999999999999997E-2</v>
      </c>
      <c r="I15"/>
      <c r="J15"/>
    </row>
    <row r="16" spans="1:10">
      <c r="B16" s="15">
        <v>2</v>
      </c>
      <c r="C16" s="4">
        <v>760</v>
      </c>
      <c r="D16" s="4">
        <v>760</v>
      </c>
      <c r="E16" s="4">
        <f t="shared" si="0"/>
        <v>1520</v>
      </c>
      <c r="F16" s="4">
        <v>50</v>
      </c>
      <c r="G16" s="4">
        <f>E16-F16</f>
        <v>1470</v>
      </c>
      <c r="H16" s="5">
        <f t="shared" si="2"/>
        <v>3.2894736842105261E-2</v>
      </c>
      <c r="I16" s="4">
        <v>30</v>
      </c>
      <c r="J16" s="62">
        <f>$G16/I16</f>
        <v>49</v>
      </c>
    </row>
    <row r="17" spans="1:10" hidden="1">
      <c r="B17" s="4">
        <v>3</v>
      </c>
      <c r="C17" s="4">
        <v>500</v>
      </c>
      <c r="D17" s="4">
        <v>500</v>
      </c>
      <c r="E17" s="4">
        <f t="shared" si="0"/>
        <v>1000</v>
      </c>
      <c r="F17" s="4">
        <v>35</v>
      </c>
      <c r="G17" s="4">
        <f t="shared" ref="G17:G41" si="3">E17-F17</f>
        <v>965</v>
      </c>
      <c r="H17" s="5">
        <f t="shared" si="2"/>
        <v>3.5000000000000003E-2</v>
      </c>
      <c r="I17"/>
      <c r="J17"/>
    </row>
    <row r="18" spans="1:10" hidden="1">
      <c r="B18" s="15">
        <v>4</v>
      </c>
      <c r="C18" s="4">
        <v>760</v>
      </c>
      <c r="D18" s="4">
        <v>760</v>
      </c>
      <c r="E18" s="4">
        <f t="shared" si="0"/>
        <v>1520</v>
      </c>
      <c r="F18" s="4">
        <v>60</v>
      </c>
      <c r="G18" s="4">
        <f t="shared" si="3"/>
        <v>1460</v>
      </c>
      <c r="H18" s="5">
        <f t="shared" si="2"/>
        <v>3.9473684210526314E-2</v>
      </c>
      <c r="I18"/>
      <c r="J18"/>
    </row>
    <row r="19" spans="1:10">
      <c r="B19" s="15">
        <v>5</v>
      </c>
      <c r="C19" s="4">
        <v>500</v>
      </c>
      <c r="D19" s="4">
        <v>50</v>
      </c>
      <c r="E19" s="4">
        <f t="shared" si="0"/>
        <v>550</v>
      </c>
      <c r="G19" s="4">
        <f>E19-F19</f>
        <v>550</v>
      </c>
      <c r="H19" s="5">
        <f t="shared" si="2"/>
        <v>0</v>
      </c>
      <c r="I19" s="4">
        <v>20</v>
      </c>
      <c r="J19" s="62">
        <f>$G19/I19</f>
        <v>27.5</v>
      </c>
    </row>
    <row r="20" spans="1:10" hidden="1">
      <c r="B20" s="4">
        <v>6</v>
      </c>
      <c r="C20" s="4">
        <v>900</v>
      </c>
      <c r="D20" s="4">
        <v>900</v>
      </c>
      <c r="E20" s="4">
        <f t="shared" si="0"/>
        <v>1800</v>
      </c>
      <c r="F20" s="4">
        <v>110</v>
      </c>
      <c r="G20" s="4">
        <f t="shared" si="3"/>
        <v>1690</v>
      </c>
      <c r="H20" s="5">
        <f t="shared" si="2"/>
        <v>6.1111111111111109E-2</v>
      </c>
      <c r="I20"/>
      <c r="J20"/>
    </row>
    <row r="21" spans="1:10" hidden="1">
      <c r="A21" s="2">
        <v>45781</v>
      </c>
      <c r="B21" s="4">
        <v>1</v>
      </c>
      <c r="C21" s="4">
        <v>500</v>
      </c>
      <c r="D21" s="4">
        <v>500</v>
      </c>
      <c r="E21" s="4">
        <f t="shared" si="0"/>
        <v>1000</v>
      </c>
      <c r="F21" s="4">
        <v>25</v>
      </c>
      <c r="G21" s="4">
        <f t="shared" si="3"/>
        <v>975</v>
      </c>
      <c r="H21" s="5">
        <f t="shared" si="2"/>
        <v>2.5000000000000001E-2</v>
      </c>
      <c r="I21"/>
      <c r="J21"/>
    </row>
    <row r="22" spans="1:10">
      <c r="B22" s="15">
        <v>2</v>
      </c>
      <c r="C22" s="4">
        <v>760</v>
      </c>
      <c r="D22" s="4">
        <v>760</v>
      </c>
      <c r="E22" s="4">
        <f t="shared" si="0"/>
        <v>1520</v>
      </c>
      <c r="F22" s="4">
        <v>65</v>
      </c>
      <c r="G22" s="4">
        <f t="shared" si="3"/>
        <v>1455</v>
      </c>
      <c r="H22" s="5">
        <f t="shared" si="2"/>
        <v>4.2763157894736843E-2</v>
      </c>
      <c r="I22" s="4">
        <v>30</v>
      </c>
      <c r="J22" s="62">
        <f>$G22/I22</f>
        <v>48.5</v>
      </c>
    </row>
    <row r="23" spans="1:10" hidden="1">
      <c r="B23" s="4">
        <v>3</v>
      </c>
      <c r="C23" s="4">
        <v>500</v>
      </c>
      <c r="D23" s="4">
        <v>500</v>
      </c>
      <c r="E23" s="4">
        <f t="shared" si="0"/>
        <v>1000</v>
      </c>
      <c r="F23" s="4">
        <v>15</v>
      </c>
      <c r="G23" s="4">
        <f t="shared" si="3"/>
        <v>985</v>
      </c>
      <c r="H23" s="5">
        <f t="shared" si="2"/>
        <v>1.4999999999999999E-2</v>
      </c>
      <c r="I23">
        <v>20</v>
      </c>
      <c r="J23"/>
    </row>
    <row r="24" spans="1:10" hidden="1">
      <c r="B24" s="15">
        <v>4</v>
      </c>
      <c r="C24" s="4">
        <v>760</v>
      </c>
      <c r="D24" s="4">
        <v>760</v>
      </c>
      <c r="E24" s="4">
        <f t="shared" si="0"/>
        <v>1520</v>
      </c>
      <c r="F24" s="4">
        <v>40</v>
      </c>
      <c r="G24" s="4">
        <f t="shared" si="3"/>
        <v>1480</v>
      </c>
      <c r="H24" s="5">
        <f t="shared" si="2"/>
        <v>2.6315789473684209E-2</v>
      </c>
      <c r="I24">
        <v>30</v>
      </c>
      <c r="J24"/>
    </row>
    <row r="25" spans="1:10">
      <c r="B25" s="15">
        <v>5</v>
      </c>
      <c r="C25" s="4">
        <v>500</v>
      </c>
      <c r="D25" s="4">
        <v>500</v>
      </c>
      <c r="E25" s="4">
        <f t="shared" si="0"/>
        <v>1000</v>
      </c>
      <c r="G25" s="4">
        <f t="shared" si="3"/>
        <v>1000</v>
      </c>
      <c r="H25" s="5">
        <f t="shared" si="2"/>
        <v>0</v>
      </c>
      <c r="I25" s="4">
        <v>20</v>
      </c>
      <c r="J25" s="62">
        <f>$G25/I25</f>
        <v>50</v>
      </c>
    </row>
    <row r="26" spans="1:10" hidden="1">
      <c r="B26" s="4">
        <v>6</v>
      </c>
      <c r="C26" s="4">
        <v>900</v>
      </c>
      <c r="D26" s="4">
        <v>900</v>
      </c>
      <c r="E26" s="4">
        <f t="shared" si="0"/>
        <v>1800</v>
      </c>
      <c r="F26" s="4">
        <v>180</v>
      </c>
      <c r="G26" s="4">
        <f t="shared" si="3"/>
        <v>1620</v>
      </c>
      <c r="H26" s="5">
        <f t="shared" si="2"/>
        <v>0.1</v>
      </c>
      <c r="I26">
        <v>30</v>
      </c>
      <c r="J26"/>
    </row>
    <row r="27" spans="1:10" hidden="1">
      <c r="A27" s="2">
        <v>45782</v>
      </c>
      <c r="B27" s="4">
        <v>1</v>
      </c>
      <c r="C27" s="4">
        <v>500</v>
      </c>
      <c r="D27" s="4">
        <v>500</v>
      </c>
      <c r="E27" s="4">
        <f t="shared" si="0"/>
        <v>1000</v>
      </c>
      <c r="F27" s="4">
        <v>30</v>
      </c>
      <c r="G27" s="4">
        <f t="shared" si="3"/>
        <v>970</v>
      </c>
      <c r="H27" s="5">
        <f t="shared" si="2"/>
        <v>0.03</v>
      </c>
      <c r="I27">
        <v>20</v>
      </c>
      <c r="J27"/>
    </row>
    <row r="28" spans="1:10">
      <c r="B28" s="15">
        <v>2</v>
      </c>
      <c r="C28" s="4">
        <v>760</v>
      </c>
      <c r="D28" s="4">
        <v>760</v>
      </c>
      <c r="E28" s="4">
        <f t="shared" si="0"/>
        <v>1520</v>
      </c>
      <c r="F28" s="4">
        <v>100</v>
      </c>
      <c r="G28" s="4">
        <f t="shared" si="3"/>
        <v>1420</v>
      </c>
      <c r="H28" s="5">
        <f t="shared" si="2"/>
        <v>6.5789473684210523E-2</v>
      </c>
      <c r="I28" s="4">
        <v>30</v>
      </c>
      <c r="J28" s="62">
        <f>$G28/I28</f>
        <v>47.333333333333336</v>
      </c>
    </row>
    <row r="29" spans="1:10" hidden="1">
      <c r="B29" s="4">
        <v>3</v>
      </c>
      <c r="C29" s="4">
        <v>500</v>
      </c>
      <c r="D29" s="4">
        <v>500</v>
      </c>
      <c r="E29" s="4">
        <f t="shared" si="0"/>
        <v>1000</v>
      </c>
      <c r="F29" s="4">
        <v>15</v>
      </c>
      <c r="G29" s="4">
        <f t="shared" si="3"/>
        <v>985</v>
      </c>
      <c r="H29" s="5">
        <f t="shared" si="2"/>
        <v>1.4999999999999999E-2</v>
      </c>
      <c r="I29">
        <v>20</v>
      </c>
      <c r="J29"/>
    </row>
    <row r="30" spans="1:10" hidden="1">
      <c r="B30" s="15">
        <v>4</v>
      </c>
      <c r="C30" s="4">
        <v>760</v>
      </c>
      <c r="D30" s="4">
        <v>760</v>
      </c>
      <c r="E30" s="4">
        <f t="shared" si="0"/>
        <v>1520</v>
      </c>
      <c r="F30" s="4">
        <v>90</v>
      </c>
      <c r="G30" s="4">
        <f t="shared" si="3"/>
        <v>1430</v>
      </c>
      <c r="H30" s="5">
        <f t="shared" si="2"/>
        <v>5.921052631578947E-2</v>
      </c>
      <c r="I30">
        <v>30</v>
      </c>
      <c r="J30"/>
    </row>
    <row r="31" spans="1:10">
      <c r="B31" s="15">
        <v>5</v>
      </c>
      <c r="C31" s="4">
        <v>500</v>
      </c>
      <c r="D31" s="4">
        <v>500</v>
      </c>
      <c r="E31" s="4">
        <f t="shared" si="0"/>
        <v>1000</v>
      </c>
      <c r="G31" s="4">
        <f t="shared" si="3"/>
        <v>1000</v>
      </c>
      <c r="H31" s="5">
        <f t="shared" si="2"/>
        <v>0</v>
      </c>
      <c r="I31" s="4">
        <v>20</v>
      </c>
      <c r="J31" s="62">
        <f>$G31/I31</f>
        <v>50</v>
      </c>
    </row>
    <row r="32" spans="1:10" hidden="1">
      <c r="B32" s="4">
        <v>6</v>
      </c>
      <c r="C32" s="4">
        <v>900</v>
      </c>
      <c r="D32" s="4">
        <v>900</v>
      </c>
      <c r="E32" s="4">
        <f t="shared" si="0"/>
        <v>1800</v>
      </c>
      <c r="F32" s="4">
        <v>120</v>
      </c>
      <c r="G32" s="4">
        <f t="shared" si="3"/>
        <v>1680</v>
      </c>
      <c r="H32" s="5">
        <f t="shared" si="2"/>
        <v>6.6666666666666666E-2</v>
      </c>
      <c r="I32">
        <v>30</v>
      </c>
      <c r="J32"/>
    </row>
    <row r="33" spans="1:10" hidden="1">
      <c r="A33" s="2">
        <v>45783</v>
      </c>
      <c r="B33" s="4">
        <v>1</v>
      </c>
      <c r="C33" s="4">
        <v>450</v>
      </c>
      <c r="D33" s="4">
        <v>500</v>
      </c>
      <c r="E33" s="4">
        <f t="shared" si="0"/>
        <v>950</v>
      </c>
      <c r="F33" s="4">
        <v>0</v>
      </c>
      <c r="G33" s="4">
        <f t="shared" si="3"/>
        <v>950</v>
      </c>
      <c r="H33" s="5">
        <f t="shared" si="2"/>
        <v>0</v>
      </c>
      <c r="I33">
        <v>20</v>
      </c>
      <c r="J33"/>
    </row>
    <row r="34" spans="1:10">
      <c r="B34" s="15">
        <v>2</v>
      </c>
      <c r="C34" s="4">
        <v>750</v>
      </c>
      <c r="D34" s="4">
        <v>750</v>
      </c>
      <c r="E34" s="4">
        <f t="shared" si="0"/>
        <v>1500</v>
      </c>
      <c r="F34" s="4">
        <v>15</v>
      </c>
      <c r="G34" s="4">
        <f t="shared" si="3"/>
        <v>1485</v>
      </c>
      <c r="H34" s="5">
        <f t="shared" si="2"/>
        <v>0.01</v>
      </c>
      <c r="I34" s="4">
        <v>30</v>
      </c>
      <c r="J34" s="62">
        <f>$G34/I34</f>
        <v>49.5</v>
      </c>
    </row>
    <row r="35" spans="1:10" hidden="1">
      <c r="B35" s="4">
        <v>3</v>
      </c>
      <c r="C35" s="4">
        <v>500</v>
      </c>
      <c r="D35" s="4">
        <v>500</v>
      </c>
      <c r="E35" s="4">
        <f t="shared" si="0"/>
        <v>1000</v>
      </c>
      <c r="F35" s="4">
        <v>10</v>
      </c>
      <c r="G35" s="4">
        <f t="shared" si="3"/>
        <v>990</v>
      </c>
      <c r="H35" s="5">
        <f t="shared" si="2"/>
        <v>0.01</v>
      </c>
      <c r="I35">
        <v>20</v>
      </c>
      <c r="J35"/>
    </row>
    <row r="36" spans="1:10" hidden="1">
      <c r="B36" s="15">
        <v>4</v>
      </c>
      <c r="C36" s="4">
        <v>750</v>
      </c>
      <c r="D36" s="4">
        <v>750</v>
      </c>
      <c r="E36" s="4">
        <f t="shared" si="0"/>
        <v>1500</v>
      </c>
      <c r="F36" s="4">
        <v>5</v>
      </c>
      <c r="G36" s="4">
        <f t="shared" si="3"/>
        <v>1495</v>
      </c>
      <c r="H36" s="5">
        <f t="shared" si="2"/>
        <v>3.3333333333333335E-3</v>
      </c>
      <c r="I36">
        <v>30</v>
      </c>
      <c r="J36"/>
    </row>
    <row r="37" spans="1:10">
      <c r="B37" s="15">
        <v>5</v>
      </c>
      <c r="C37" s="4">
        <v>500</v>
      </c>
      <c r="D37" s="4">
        <v>500</v>
      </c>
      <c r="E37" s="4">
        <f t="shared" si="0"/>
        <v>1000</v>
      </c>
      <c r="G37" s="4">
        <f t="shared" si="3"/>
        <v>1000</v>
      </c>
      <c r="H37" s="5">
        <f t="shared" si="2"/>
        <v>0</v>
      </c>
      <c r="I37" s="4">
        <v>20</v>
      </c>
      <c r="J37" s="62">
        <f>$G37/I37</f>
        <v>50</v>
      </c>
    </row>
    <row r="38" spans="1:10" hidden="1">
      <c r="B38" s="4">
        <v>6</v>
      </c>
      <c r="C38" s="4">
        <v>900</v>
      </c>
      <c r="D38" s="4">
        <v>900</v>
      </c>
      <c r="E38" s="4">
        <f t="shared" si="0"/>
        <v>1800</v>
      </c>
      <c r="F38" s="4">
        <v>250</v>
      </c>
      <c r="G38" s="4">
        <f t="shared" si="3"/>
        <v>1550</v>
      </c>
      <c r="H38" s="5">
        <f t="shared" si="2"/>
        <v>0.1388888888888889</v>
      </c>
      <c r="I38">
        <v>30</v>
      </c>
      <c r="J38"/>
    </row>
    <row r="39" spans="1:10" hidden="1">
      <c r="A39" s="14" t="s">
        <v>21</v>
      </c>
      <c r="B39" s="4">
        <v>1</v>
      </c>
      <c r="C39" s="4">
        <v>500</v>
      </c>
      <c r="D39" s="4">
        <v>500</v>
      </c>
      <c r="E39" s="4">
        <f t="shared" si="0"/>
        <v>1000</v>
      </c>
      <c r="F39" s="4">
        <v>45</v>
      </c>
      <c r="G39" s="4">
        <f t="shared" si="3"/>
        <v>955</v>
      </c>
      <c r="H39" s="5">
        <f t="shared" si="2"/>
        <v>4.4999999999999998E-2</v>
      </c>
      <c r="I39">
        <v>20</v>
      </c>
      <c r="J39"/>
    </row>
    <row r="40" spans="1:10">
      <c r="B40" s="15">
        <v>2</v>
      </c>
      <c r="C40" s="4">
        <v>750</v>
      </c>
      <c r="D40" s="4">
        <v>750</v>
      </c>
      <c r="E40" s="4">
        <f t="shared" si="0"/>
        <v>1500</v>
      </c>
      <c r="F40" s="4">
        <v>75</v>
      </c>
      <c r="G40" s="4">
        <f t="shared" si="3"/>
        <v>1425</v>
      </c>
      <c r="H40" s="5">
        <f t="shared" si="2"/>
        <v>0.05</v>
      </c>
      <c r="I40" s="4">
        <v>30</v>
      </c>
      <c r="J40" s="62">
        <f>$G40/I40</f>
        <v>47.5</v>
      </c>
    </row>
    <row r="41" spans="1:10" hidden="1">
      <c r="B41" s="4">
        <v>3</v>
      </c>
      <c r="C41" s="4">
        <v>500</v>
      </c>
      <c r="D41" s="4">
        <v>500</v>
      </c>
      <c r="E41" s="4">
        <f t="shared" si="0"/>
        <v>1000</v>
      </c>
      <c r="F41" s="4">
        <v>40</v>
      </c>
      <c r="G41" s="4">
        <f t="shared" si="3"/>
        <v>960</v>
      </c>
      <c r="H41" s="5">
        <f t="shared" si="2"/>
        <v>0.04</v>
      </c>
      <c r="I41">
        <v>20</v>
      </c>
      <c r="J41"/>
    </row>
    <row r="42" spans="1:10" hidden="1">
      <c r="B42" s="15">
        <v>4</v>
      </c>
      <c r="C42" s="4">
        <v>750</v>
      </c>
      <c r="D42" s="4">
        <v>750</v>
      </c>
      <c r="E42" s="4">
        <f t="shared" si="0"/>
        <v>1500</v>
      </c>
      <c r="F42" s="4">
        <v>25</v>
      </c>
      <c r="G42" s="4">
        <f>E42-F42</f>
        <v>1475</v>
      </c>
      <c r="H42" s="5">
        <f t="shared" si="2"/>
        <v>1.6666666666666666E-2</v>
      </c>
      <c r="I42">
        <v>30</v>
      </c>
      <c r="J42"/>
    </row>
    <row r="43" spans="1:10">
      <c r="B43" s="15">
        <v>5</v>
      </c>
      <c r="C43" s="4">
        <v>500</v>
      </c>
      <c r="D43" s="4">
        <v>500</v>
      </c>
      <c r="E43" s="4">
        <f t="shared" si="0"/>
        <v>1000</v>
      </c>
      <c r="G43" s="4">
        <f t="shared" ref="G43:G106" si="4">E43-F43</f>
        <v>1000</v>
      </c>
      <c r="H43" s="5">
        <f t="shared" si="2"/>
        <v>0</v>
      </c>
      <c r="I43" s="4">
        <v>20</v>
      </c>
      <c r="J43" s="62">
        <f>$G43/I43</f>
        <v>50</v>
      </c>
    </row>
    <row r="44" spans="1:10" hidden="1">
      <c r="B44" s="4">
        <v>6</v>
      </c>
      <c r="C44" s="4">
        <v>800</v>
      </c>
      <c r="D44" s="4">
        <v>800</v>
      </c>
      <c r="E44" s="4">
        <f t="shared" si="0"/>
        <v>1600</v>
      </c>
      <c r="F44" s="4">
        <v>235</v>
      </c>
      <c r="G44" s="4">
        <f t="shared" si="4"/>
        <v>1365</v>
      </c>
      <c r="H44" s="5">
        <f t="shared" si="2"/>
        <v>0.14687500000000001</v>
      </c>
      <c r="I44"/>
      <c r="J44"/>
    </row>
    <row r="45" spans="1:10" hidden="1">
      <c r="A45" s="2">
        <v>45785</v>
      </c>
      <c r="B45" s="4">
        <v>1</v>
      </c>
      <c r="C45" s="4">
        <v>500</v>
      </c>
      <c r="D45" s="4">
        <v>550</v>
      </c>
      <c r="E45" s="4">
        <f t="shared" si="0"/>
        <v>1050</v>
      </c>
      <c r="F45" s="4">
        <v>45</v>
      </c>
      <c r="G45" s="4">
        <f t="shared" si="4"/>
        <v>1005</v>
      </c>
      <c r="H45" s="5">
        <f t="shared" si="2"/>
        <v>4.2857142857142858E-2</v>
      </c>
      <c r="I45"/>
      <c r="J45"/>
    </row>
    <row r="46" spans="1:10">
      <c r="B46" s="15">
        <v>2</v>
      </c>
      <c r="C46" s="4">
        <v>760</v>
      </c>
      <c r="D46" s="4">
        <v>750</v>
      </c>
      <c r="E46" s="4">
        <f t="shared" si="0"/>
        <v>1510</v>
      </c>
      <c r="F46" s="4">
        <v>140</v>
      </c>
      <c r="G46" s="4">
        <f t="shared" si="4"/>
        <v>1370</v>
      </c>
      <c r="H46" s="5">
        <f t="shared" si="2"/>
        <v>9.2715231788079472E-2</v>
      </c>
      <c r="I46" s="4">
        <v>30</v>
      </c>
      <c r="J46" s="62">
        <f>$G46/I46</f>
        <v>45.666666666666664</v>
      </c>
    </row>
    <row r="47" spans="1:10" hidden="1">
      <c r="B47" s="4">
        <v>3</v>
      </c>
      <c r="C47" s="4">
        <v>500</v>
      </c>
      <c r="D47" s="4">
        <v>550</v>
      </c>
      <c r="E47" s="4">
        <f t="shared" si="0"/>
        <v>1050</v>
      </c>
      <c r="F47" s="4">
        <v>80</v>
      </c>
      <c r="G47" s="4">
        <f t="shared" si="4"/>
        <v>970</v>
      </c>
      <c r="H47" s="5">
        <f t="shared" si="2"/>
        <v>7.6190476190476197E-2</v>
      </c>
      <c r="I47">
        <v>20</v>
      </c>
      <c r="J47"/>
    </row>
    <row r="48" spans="1:10" hidden="1">
      <c r="B48" s="15">
        <v>4</v>
      </c>
      <c r="C48" s="4">
        <v>760</v>
      </c>
      <c r="D48" s="4">
        <v>750</v>
      </c>
      <c r="E48" s="4">
        <f t="shared" si="0"/>
        <v>1510</v>
      </c>
      <c r="F48" s="4">
        <v>30</v>
      </c>
      <c r="G48" s="4">
        <f t="shared" si="4"/>
        <v>1480</v>
      </c>
      <c r="H48" s="5">
        <f t="shared" si="2"/>
        <v>1.9867549668874173E-2</v>
      </c>
      <c r="I48">
        <v>30</v>
      </c>
      <c r="J48"/>
    </row>
    <row r="49" spans="1:10">
      <c r="B49" s="15">
        <v>5</v>
      </c>
      <c r="C49" s="4">
        <v>500</v>
      </c>
      <c r="D49" s="4">
        <v>500</v>
      </c>
      <c r="E49" s="4">
        <f t="shared" si="0"/>
        <v>1000</v>
      </c>
      <c r="G49" s="4">
        <f t="shared" si="4"/>
        <v>1000</v>
      </c>
      <c r="H49" s="5">
        <f t="shared" si="2"/>
        <v>0</v>
      </c>
      <c r="I49" s="4">
        <v>20</v>
      </c>
      <c r="J49" s="62">
        <f>$G49/I49</f>
        <v>50</v>
      </c>
    </row>
    <row r="50" spans="1:10" hidden="1">
      <c r="B50" s="4">
        <v>6</v>
      </c>
      <c r="C50" s="4">
        <v>700</v>
      </c>
      <c r="D50" s="4">
        <v>600</v>
      </c>
      <c r="E50" s="4">
        <f t="shared" si="0"/>
        <v>1300</v>
      </c>
      <c r="F50" s="4">
        <v>305</v>
      </c>
      <c r="G50" s="4">
        <f t="shared" si="4"/>
        <v>995</v>
      </c>
      <c r="H50" s="5">
        <f t="shared" si="2"/>
        <v>0.23461538461538461</v>
      </c>
      <c r="I50">
        <v>30</v>
      </c>
      <c r="J50"/>
    </row>
    <row r="51" spans="1:10" hidden="1">
      <c r="A51" s="2">
        <v>45786</v>
      </c>
      <c r="B51" s="4">
        <v>1</v>
      </c>
      <c r="C51" s="4">
        <v>500</v>
      </c>
      <c r="D51" s="4">
        <v>500</v>
      </c>
      <c r="E51" s="4">
        <f t="shared" si="0"/>
        <v>1000</v>
      </c>
      <c r="F51" s="4">
        <v>35</v>
      </c>
      <c r="G51" s="4">
        <f t="shared" si="4"/>
        <v>965</v>
      </c>
      <c r="H51" s="5">
        <f t="shared" si="2"/>
        <v>3.5000000000000003E-2</v>
      </c>
      <c r="I51">
        <v>20</v>
      </c>
      <c r="J51"/>
    </row>
    <row r="52" spans="1:10">
      <c r="B52" s="15">
        <v>2</v>
      </c>
      <c r="C52" s="4">
        <v>750</v>
      </c>
      <c r="D52" s="4">
        <v>750</v>
      </c>
      <c r="E52" s="4">
        <f t="shared" si="0"/>
        <v>1500</v>
      </c>
      <c r="F52" s="4">
        <v>40</v>
      </c>
      <c r="G52" s="4">
        <f t="shared" si="4"/>
        <v>1460</v>
      </c>
      <c r="H52" s="5">
        <f t="shared" si="2"/>
        <v>2.6666666666666668E-2</v>
      </c>
      <c r="I52" s="4">
        <v>30</v>
      </c>
      <c r="J52" s="62">
        <f>$G52/I52</f>
        <v>48.666666666666664</v>
      </c>
    </row>
    <row r="53" spans="1:10" hidden="1">
      <c r="B53" s="4">
        <v>3</v>
      </c>
      <c r="C53" s="4">
        <v>500</v>
      </c>
      <c r="D53" s="4">
        <v>500</v>
      </c>
      <c r="E53" s="4">
        <f t="shared" si="0"/>
        <v>1000</v>
      </c>
      <c r="F53" s="4">
        <v>25</v>
      </c>
      <c r="G53" s="4">
        <f t="shared" si="4"/>
        <v>975</v>
      </c>
      <c r="H53" s="5">
        <f t="shared" si="2"/>
        <v>2.5000000000000001E-2</v>
      </c>
      <c r="I53">
        <v>20</v>
      </c>
      <c r="J53"/>
    </row>
    <row r="54" spans="1:10" hidden="1">
      <c r="B54" s="15">
        <v>4</v>
      </c>
      <c r="C54" s="4">
        <v>650</v>
      </c>
      <c r="D54" s="4">
        <v>650</v>
      </c>
      <c r="E54" s="4">
        <f t="shared" si="0"/>
        <v>1300</v>
      </c>
      <c r="F54" s="4">
        <v>15</v>
      </c>
      <c r="G54" s="4">
        <f t="shared" si="4"/>
        <v>1285</v>
      </c>
      <c r="H54" s="5">
        <f t="shared" si="2"/>
        <v>1.1538461538461539E-2</v>
      </c>
      <c r="I54">
        <v>30</v>
      </c>
      <c r="J54"/>
    </row>
    <row r="55" spans="1:10">
      <c r="B55" s="15">
        <v>5</v>
      </c>
      <c r="C55" s="4">
        <v>500</v>
      </c>
      <c r="D55" s="4">
        <v>500</v>
      </c>
      <c r="E55" s="4">
        <f t="shared" si="0"/>
        <v>1000</v>
      </c>
      <c r="G55" s="4">
        <f t="shared" si="4"/>
        <v>1000</v>
      </c>
      <c r="H55" s="5">
        <f t="shared" si="2"/>
        <v>0</v>
      </c>
      <c r="I55" s="4">
        <v>20</v>
      </c>
      <c r="J55" s="62">
        <f>$G55/I55</f>
        <v>50</v>
      </c>
    </row>
    <row r="56" spans="1:10" hidden="1">
      <c r="B56" s="4">
        <v>6</v>
      </c>
      <c r="C56" s="4">
        <v>700</v>
      </c>
      <c r="D56" s="4">
        <v>600</v>
      </c>
      <c r="E56" s="4">
        <f t="shared" si="0"/>
        <v>1300</v>
      </c>
      <c r="F56" s="4">
        <v>220</v>
      </c>
      <c r="G56" s="4">
        <f t="shared" si="4"/>
        <v>1080</v>
      </c>
      <c r="H56" s="5">
        <f t="shared" si="2"/>
        <v>0.16923076923076924</v>
      </c>
      <c r="I56"/>
      <c r="J56"/>
    </row>
    <row r="57" spans="1:10" hidden="1">
      <c r="A57" s="2">
        <v>45787</v>
      </c>
      <c r="B57" s="4">
        <v>1</v>
      </c>
      <c r="C57" s="4">
        <v>500</v>
      </c>
      <c r="D57" s="4">
        <v>500</v>
      </c>
      <c r="E57" s="4">
        <f t="shared" si="0"/>
        <v>1000</v>
      </c>
      <c r="F57" s="4">
        <v>50</v>
      </c>
      <c r="G57" s="4">
        <f t="shared" si="4"/>
        <v>950</v>
      </c>
      <c r="H57" s="5">
        <f t="shared" si="2"/>
        <v>0.05</v>
      </c>
      <c r="I57"/>
      <c r="J57"/>
    </row>
    <row r="58" spans="1:10">
      <c r="B58" s="15">
        <v>2</v>
      </c>
      <c r="C58" s="4">
        <v>750</v>
      </c>
      <c r="D58" s="4">
        <v>750</v>
      </c>
      <c r="E58" s="4">
        <f t="shared" si="0"/>
        <v>1500</v>
      </c>
      <c r="F58" s="4">
        <v>65</v>
      </c>
      <c r="G58" s="4">
        <f t="shared" si="4"/>
        <v>1435</v>
      </c>
      <c r="H58" s="5">
        <f t="shared" si="2"/>
        <v>4.3333333333333335E-2</v>
      </c>
      <c r="I58" s="4">
        <v>30</v>
      </c>
      <c r="J58" s="62">
        <f>$G58/I58</f>
        <v>47.833333333333336</v>
      </c>
    </row>
    <row r="59" spans="1:10" hidden="1">
      <c r="B59" s="4">
        <v>3</v>
      </c>
      <c r="C59" s="4">
        <v>500</v>
      </c>
      <c r="D59" s="4">
        <v>500</v>
      </c>
      <c r="E59" s="4">
        <f t="shared" si="0"/>
        <v>1000</v>
      </c>
      <c r="F59" s="4">
        <v>40</v>
      </c>
      <c r="G59" s="4">
        <f t="shared" si="4"/>
        <v>960</v>
      </c>
      <c r="H59" s="5">
        <f t="shared" si="2"/>
        <v>0.04</v>
      </c>
      <c r="I59">
        <v>20</v>
      </c>
      <c r="J59"/>
    </row>
    <row r="60" spans="1:10" hidden="1">
      <c r="B60" s="15">
        <v>4</v>
      </c>
      <c r="C60" s="4">
        <v>750</v>
      </c>
      <c r="D60" s="4">
        <v>750</v>
      </c>
      <c r="E60" s="4">
        <f t="shared" si="0"/>
        <v>1500</v>
      </c>
      <c r="F60" s="4">
        <v>35</v>
      </c>
      <c r="G60" s="4">
        <f t="shared" si="4"/>
        <v>1465</v>
      </c>
      <c r="H60" s="5">
        <f t="shared" si="2"/>
        <v>2.3333333333333334E-2</v>
      </c>
      <c r="I60">
        <v>30</v>
      </c>
      <c r="J60"/>
    </row>
    <row r="61" spans="1:10">
      <c r="B61" s="15">
        <v>5</v>
      </c>
      <c r="C61" s="4">
        <v>500</v>
      </c>
      <c r="D61" s="4">
        <v>500</v>
      </c>
      <c r="E61" s="4">
        <f t="shared" si="0"/>
        <v>1000</v>
      </c>
      <c r="G61" s="4">
        <f t="shared" si="4"/>
        <v>1000</v>
      </c>
      <c r="H61" s="5">
        <f t="shared" si="2"/>
        <v>0</v>
      </c>
      <c r="I61" s="4">
        <v>20</v>
      </c>
      <c r="J61" s="62">
        <f>$G61/I61</f>
        <v>50</v>
      </c>
    </row>
    <row r="62" spans="1:10" hidden="1">
      <c r="B62" s="4">
        <v>6</v>
      </c>
      <c r="C62" s="4">
        <v>600</v>
      </c>
      <c r="D62" s="4">
        <v>600</v>
      </c>
      <c r="E62" s="4">
        <f t="shared" si="0"/>
        <v>1200</v>
      </c>
      <c r="F62" s="4">
        <v>115</v>
      </c>
      <c r="G62" s="4">
        <f t="shared" si="4"/>
        <v>1085</v>
      </c>
      <c r="H62" s="5">
        <f t="shared" si="2"/>
        <v>9.583333333333334E-2</v>
      </c>
      <c r="I62">
        <v>30</v>
      </c>
      <c r="J62"/>
    </row>
    <row r="63" spans="1:10" hidden="1">
      <c r="A63" s="2">
        <v>45788</v>
      </c>
      <c r="B63" s="4">
        <v>1</v>
      </c>
      <c r="C63" s="4">
        <v>500</v>
      </c>
      <c r="D63" s="4">
        <v>500</v>
      </c>
      <c r="E63" s="4">
        <f t="shared" si="0"/>
        <v>1000</v>
      </c>
      <c r="F63" s="4">
        <v>35</v>
      </c>
      <c r="G63" s="4">
        <f t="shared" si="4"/>
        <v>965</v>
      </c>
      <c r="H63" s="5">
        <f t="shared" si="2"/>
        <v>3.5000000000000003E-2</v>
      </c>
      <c r="I63">
        <v>20</v>
      </c>
      <c r="J63"/>
    </row>
    <row r="64" spans="1:10">
      <c r="B64" s="15">
        <v>2</v>
      </c>
      <c r="C64" s="4">
        <v>750</v>
      </c>
      <c r="D64" s="4">
        <v>760</v>
      </c>
      <c r="E64" s="4">
        <f t="shared" si="0"/>
        <v>1510</v>
      </c>
      <c r="F64" s="4">
        <v>50</v>
      </c>
      <c r="G64" s="4">
        <f t="shared" si="4"/>
        <v>1460</v>
      </c>
      <c r="H64" s="5">
        <f t="shared" si="2"/>
        <v>3.3112582781456956E-2</v>
      </c>
      <c r="I64" s="4">
        <v>30</v>
      </c>
      <c r="J64" s="62">
        <f>$G64/I64</f>
        <v>48.666666666666664</v>
      </c>
    </row>
    <row r="65" spans="1:10" hidden="1">
      <c r="B65" s="4">
        <v>3</v>
      </c>
      <c r="C65" s="4">
        <v>500</v>
      </c>
      <c r="D65" s="4">
        <v>500</v>
      </c>
      <c r="E65" s="4">
        <f t="shared" si="0"/>
        <v>1000</v>
      </c>
      <c r="F65" s="4">
        <v>30</v>
      </c>
      <c r="G65" s="4">
        <f t="shared" si="4"/>
        <v>970</v>
      </c>
      <c r="H65" s="5">
        <f t="shared" si="2"/>
        <v>0.03</v>
      </c>
      <c r="I65">
        <v>20</v>
      </c>
      <c r="J65"/>
    </row>
    <row r="66" spans="1:10" hidden="1">
      <c r="B66" s="15">
        <v>4</v>
      </c>
      <c r="C66" s="4">
        <v>750</v>
      </c>
      <c r="D66" s="4">
        <v>750</v>
      </c>
      <c r="E66" s="4">
        <f t="shared" si="0"/>
        <v>1500</v>
      </c>
      <c r="F66" s="4">
        <v>60</v>
      </c>
      <c r="G66" s="4">
        <f t="shared" si="4"/>
        <v>1440</v>
      </c>
      <c r="H66" s="5">
        <f t="shared" si="2"/>
        <v>0.04</v>
      </c>
      <c r="I66">
        <v>30</v>
      </c>
      <c r="J66"/>
    </row>
    <row r="67" spans="1:10">
      <c r="B67" s="15">
        <v>5</v>
      </c>
      <c r="C67" s="4">
        <v>500</v>
      </c>
      <c r="D67" s="4">
        <v>500</v>
      </c>
      <c r="E67" s="4">
        <f t="shared" si="0"/>
        <v>1000</v>
      </c>
      <c r="G67" s="4">
        <f t="shared" si="4"/>
        <v>1000</v>
      </c>
      <c r="H67" s="5">
        <f t="shared" si="2"/>
        <v>0</v>
      </c>
      <c r="I67" s="4">
        <v>20</v>
      </c>
      <c r="J67" s="62">
        <f>$G67/I67</f>
        <v>50</v>
      </c>
    </row>
    <row r="68" spans="1:10" hidden="1">
      <c r="B68" s="4">
        <v>6</v>
      </c>
      <c r="C68" s="4">
        <v>700</v>
      </c>
      <c r="D68" s="4">
        <v>600</v>
      </c>
      <c r="E68" s="4">
        <f t="shared" ref="E68:E131" si="5">$C68+D68</f>
        <v>1300</v>
      </c>
      <c r="F68" s="4">
        <v>115</v>
      </c>
      <c r="G68" s="4">
        <f t="shared" si="4"/>
        <v>1185</v>
      </c>
      <c r="H68" s="5">
        <f t="shared" ref="H68:H131" si="6">$F68/E68</f>
        <v>8.8461538461538466E-2</v>
      </c>
      <c r="I68"/>
      <c r="J68"/>
    </row>
    <row r="69" spans="1:10" hidden="1">
      <c r="A69" s="2">
        <v>45789</v>
      </c>
      <c r="B69" s="4">
        <v>1</v>
      </c>
      <c r="C69" s="4">
        <v>500</v>
      </c>
      <c r="D69" s="4">
        <v>500</v>
      </c>
      <c r="E69" s="4">
        <f t="shared" si="5"/>
        <v>1000</v>
      </c>
      <c r="F69" s="4">
        <v>10</v>
      </c>
      <c r="G69" s="4">
        <f t="shared" si="4"/>
        <v>990</v>
      </c>
      <c r="H69" s="5">
        <f t="shared" si="6"/>
        <v>0.01</v>
      </c>
      <c r="I69"/>
      <c r="J69"/>
    </row>
    <row r="70" spans="1:10">
      <c r="B70" s="15">
        <v>2</v>
      </c>
      <c r="C70" s="4">
        <v>750</v>
      </c>
      <c r="D70" s="4">
        <v>750</v>
      </c>
      <c r="E70" s="4">
        <f t="shared" si="5"/>
        <v>1500</v>
      </c>
      <c r="F70" s="4">
        <v>30</v>
      </c>
      <c r="G70" s="4">
        <f t="shared" si="4"/>
        <v>1470</v>
      </c>
      <c r="H70" s="5">
        <f t="shared" si="6"/>
        <v>0.02</v>
      </c>
      <c r="I70" s="4">
        <v>30</v>
      </c>
      <c r="J70" s="62">
        <f>$G70/I70</f>
        <v>49</v>
      </c>
    </row>
    <row r="71" spans="1:10" hidden="1">
      <c r="B71" s="4">
        <v>3</v>
      </c>
      <c r="C71" s="4">
        <v>500</v>
      </c>
      <c r="D71" s="4">
        <v>500</v>
      </c>
      <c r="E71" s="4">
        <f t="shared" si="5"/>
        <v>1000</v>
      </c>
      <c r="F71" s="4">
        <v>5</v>
      </c>
      <c r="G71" s="4">
        <f t="shared" si="4"/>
        <v>995</v>
      </c>
      <c r="H71" s="5">
        <f t="shared" si="6"/>
        <v>5.0000000000000001E-3</v>
      </c>
      <c r="I71">
        <v>20</v>
      </c>
      <c r="J71"/>
    </row>
    <row r="72" spans="1:10" hidden="1">
      <c r="B72" s="15">
        <v>4</v>
      </c>
      <c r="C72" s="4">
        <v>750</v>
      </c>
      <c r="D72" s="4">
        <v>750</v>
      </c>
      <c r="E72" s="4">
        <f t="shared" si="5"/>
        <v>1500</v>
      </c>
      <c r="F72" s="4">
        <v>80</v>
      </c>
      <c r="G72" s="4">
        <f t="shared" si="4"/>
        <v>1420</v>
      </c>
      <c r="H72" s="5">
        <f t="shared" si="6"/>
        <v>5.3333333333333337E-2</v>
      </c>
      <c r="I72">
        <v>30</v>
      </c>
      <c r="J72"/>
    </row>
    <row r="73" spans="1:10">
      <c r="B73" s="15">
        <v>5</v>
      </c>
      <c r="C73" s="4">
        <v>500</v>
      </c>
      <c r="D73" s="4">
        <v>500</v>
      </c>
      <c r="E73" s="4">
        <f t="shared" si="5"/>
        <v>1000</v>
      </c>
      <c r="G73" s="4">
        <f t="shared" si="4"/>
        <v>1000</v>
      </c>
      <c r="H73" s="5">
        <f t="shared" si="6"/>
        <v>0</v>
      </c>
      <c r="I73" s="4">
        <v>20</v>
      </c>
      <c r="J73" s="62">
        <f>$G73/I73</f>
        <v>50</v>
      </c>
    </row>
    <row r="74" spans="1:10" hidden="1">
      <c r="B74" s="4">
        <v>6</v>
      </c>
      <c r="C74" s="4">
        <v>600</v>
      </c>
      <c r="D74" s="4">
        <v>600</v>
      </c>
      <c r="E74" s="4">
        <f t="shared" si="5"/>
        <v>1200</v>
      </c>
      <c r="F74" s="4">
        <v>100</v>
      </c>
      <c r="G74" s="4">
        <f t="shared" si="4"/>
        <v>1100</v>
      </c>
      <c r="H74" s="5">
        <f t="shared" si="6"/>
        <v>8.3333333333333329E-2</v>
      </c>
      <c r="I74">
        <v>30</v>
      </c>
      <c r="J74"/>
    </row>
    <row r="75" spans="1:10" hidden="1">
      <c r="A75" s="2">
        <v>45790</v>
      </c>
      <c r="B75" s="4">
        <v>1</v>
      </c>
      <c r="C75" s="4">
        <v>500</v>
      </c>
      <c r="D75" s="4">
        <v>500</v>
      </c>
      <c r="E75" s="4">
        <f t="shared" si="5"/>
        <v>1000</v>
      </c>
      <c r="F75" s="4">
        <v>30</v>
      </c>
      <c r="G75" s="4">
        <f t="shared" si="4"/>
        <v>970</v>
      </c>
      <c r="H75" s="5">
        <f t="shared" si="6"/>
        <v>0.03</v>
      </c>
      <c r="I75">
        <v>20</v>
      </c>
      <c r="J75"/>
    </row>
    <row r="76" spans="1:10">
      <c r="B76" s="15">
        <v>2</v>
      </c>
      <c r="C76" s="4">
        <v>700</v>
      </c>
      <c r="D76" s="4">
        <v>700</v>
      </c>
      <c r="E76" s="4">
        <f t="shared" si="5"/>
        <v>1400</v>
      </c>
      <c r="F76" s="4">
        <v>25</v>
      </c>
      <c r="G76" s="4">
        <f t="shared" si="4"/>
        <v>1375</v>
      </c>
      <c r="H76" s="5">
        <f t="shared" si="6"/>
        <v>1.7857142857142856E-2</v>
      </c>
      <c r="I76" s="4">
        <v>30</v>
      </c>
      <c r="J76" s="62">
        <f>$G76/I76</f>
        <v>45.833333333333336</v>
      </c>
    </row>
    <row r="77" spans="1:10" hidden="1">
      <c r="B77" s="4">
        <v>3</v>
      </c>
      <c r="C77" s="4">
        <v>500</v>
      </c>
      <c r="D77" s="4">
        <v>500</v>
      </c>
      <c r="E77" s="4">
        <f t="shared" si="5"/>
        <v>1000</v>
      </c>
      <c r="F77" s="4">
        <v>50</v>
      </c>
      <c r="G77" s="4">
        <f t="shared" si="4"/>
        <v>950</v>
      </c>
      <c r="H77" s="5">
        <f t="shared" si="6"/>
        <v>0.05</v>
      </c>
      <c r="I77">
        <v>20</v>
      </c>
      <c r="J77"/>
    </row>
    <row r="78" spans="1:10" hidden="1">
      <c r="B78" s="15">
        <v>4</v>
      </c>
      <c r="C78" s="4">
        <v>750</v>
      </c>
      <c r="D78" s="4">
        <v>700</v>
      </c>
      <c r="E78" s="4">
        <f t="shared" si="5"/>
        <v>1450</v>
      </c>
      <c r="F78" s="4">
        <v>35</v>
      </c>
      <c r="G78" s="4">
        <f t="shared" si="4"/>
        <v>1415</v>
      </c>
      <c r="H78" s="5">
        <f t="shared" si="6"/>
        <v>2.4137931034482758E-2</v>
      </c>
      <c r="I78">
        <v>30</v>
      </c>
      <c r="J78"/>
    </row>
    <row r="79" spans="1:10">
      <c r="B79" s="15">
        <v>5</v>
      </c>
      <c r="C79" s="4">
        <v>500</v>
      </c>
      <c r="D79" s="4">
        <v>500</v>
      </c>
      <c r="E79" s="4">
        <f t="shared" si="5"/>
        <v>1000</v>
      </c>
      <c r="G79" s="4">
        <f t="shared" si="4"/>
        <v>1000</v>
      </c>
      <c r="H79" s="5">
        <f t="shared" si="6"/>
        <v>0</v>
      </c>
      <c r="I79" s="4">
        <v>20</v>
      </c>
      <c r="J79" s="62">
        <f>$G79/I79</f>
        <v>50</v>
      </c>
    </row>
    <row r="80" spans="1:10" hidden="1">
      <c r="B80" s="4">
        <v>6</v>
      </c>
      <c r="C80" s="4">
        <v>1000</v>
      </c>
      <c r="D80" s="4">
        <v>600</v>
      </c>
      <c r="E80" s="4">
        <f t="shared" si="5"/>
        <v>1600</v>
      </c>
      <c r="F80" s="4">
        <v>90</v>
      </c>
      <c r="G80" s="4">
        <f t="shared" si="4"/>
        <v>1510</v>
      </c>
      <c r="H80" s="5">
        <f t="shared" si="6"/>
        <v>5.6250000000000001E-2</v>
      </c>
      <c r="I80"/>
      <c r="J80"/>
    </row>
    <row r="81" spans="1:10" hidden="1">
      <c r="A81" s="2">
        <v>45791</v>
      </c>
      <c r="B81" s="4">
        <v>1</v>
      </c>
      <c r="C81" s="4">
        <v>500</v>
      </c>
      <c r="D81" s="4">
        <v>500</v>
      </c>
      <c r="E81" s="4">
        <f t="shared" si="5"/>
        <v>1000</v>
      </c>
      <c r="F81" s="4">
        <v>15</v>
      </c>
      <c r="G81" s="4">
        <f t="shared" si="4"/>
        <v>985</v>
      </c>
      <c r="H81" s="5">
        <f t="shared" si="6"/>
        <v>1.4999999999999999E-2</v>
      </c>
      <c r="I81"/>
      <c r="J81"/>
    </row>
    <row r="82" spans="1:10">
      <c r="B82" s="15">
        <v>2</v>
      </c>
      <c r="C82" s="4">
        <v>700</v>
      </c>
      <c r="D82" s="4">
        <v>700</v>
      </c>
      <c r="E82" s="4">
        <f t="shared" si="5"/>
        <v>1400</v>
      </c>
      <c r="F82" s="4">
        <v>30</v>
      </c>
      <c r="G82" s="4">
        <f t="shared" si="4"/>
        <v>1370</v>
      </c>
      <c r="H82" s="5">
        <f t="shared" si="6"/>
        <v>2.1428571428571429E-2</v>
      </c>
      <c r="I82" s="4">
        <v>30</v>
      </c>
      <c r="J82" s="62">
        <f>$G82/I82</f>
        <v>45.666666666666664</v>
      </c>
    </row>
    <row r="83" spans="1:10" hidden="1">
      <c r="B83" s="4">
        <v>3</v>
      </c>
      <c r="C83" s="4">
        <v>500</v>
      </c>
      <c r="D83" s="4">
        <v>500</v>
      </c>
      <c r="E83" s="4">
        <f t="shared" si="5"/>
        <v>1000</v>
      </c>
      <c r="F83" s="4">
        <v>45</v>
      </c>
      <c r="G83" s="4">
        <f t="shared" si="4"/>
        <v>955</v>
      </c>
      <c r="H83" s="5">
        <f t="shared" si="6"/>
        <v>4.4999999999999998E-2</v>
      </c>
      <c r="I83">
        <v>20</v>
      </c>
      <c r="J83"/>
    </row>
    <row r="84" spans="1:10" hidden="1">
      <c r="B84" s="15">
        <v>4</v>
      </c>
      <c r="C84" s="4">
        <v>750</v>
      </c>
      <c r="D84" s="4">
        <v>750</v>
      </c>
      <c r="E84" s="4">
        <f t="shared" si="5"/>
        <v>1500</v>
      </c>
      <c r="F84" s="4">
        <v>70</v>
      </c>
      <c r="G84" s="4">
        <f t="shared" si="4"/>
        <v>1430</v>
      </c>
      <c r="H84" s="5">
        <f t="shared" si="6"/>
        <v>4.6666666666666669E-2</v>
      </c>
      <c r="I84">
        <v>30</v>
      </c>
      <c r="J84"/>
    </row>
    <row r="85" spans="1:10">
      <c r="B85" s="15">
        <v>5</v>
      </c>
      <c r="C85" s="4">
        <v>500</v>
      </c>
      <c r="D85" s="4">
        <v>500</v>
      </c>
      <c r="E85" s="4">
        <f t="shared" si="5"/>
        <v>1000</v>
      </c>
      <c r="G85" s="4">
        <f t="shared" si="4"/>
        <v>1000</v>
      </c>
      <c r="H85" s="5">
        <f t="shared" si="6"/>
        <v>0</v>
      </c>
      <c r="I85" s="4">
        <v>20</v>
      </c>
      <c r="J85" s="62">
        <f>$G85/I85</f>
        <v>50</v>
      </c>
    </row>
    <row r="86" spans="1:10" hidden="1">
      <c r="B86" s="4">
        <v>6</v>
      </c>
      <c r="C86" s="4">
        <v>600</v>
      </c>
      <c r="D86" s="4">
        <v>600</v>
      </c>
      <c r="E86" s="4">
        <f t="shared" si="5"/>
        <v>1200</v>
      </c>
      <c r="F86" s="4">
        <v>150</v>
      </c>
      <c r="G86" s="4">
        <f t="shared" si="4"/>
        <v>1050</v>
      </c>
      <c r="H86" s="5">
        <f t="shared" si="6"/>
        <v>0.125</v>
      </c>
      <c r="I86">
        <v>30</v>
      </c>
      <c r="J86"/>
    </row>
    <row r="87" spans="1:10" hidden="1">
      <c r="A87" s="2">
        <v>45792</v>
      </c>
      <c r="B87" s="4">
        <v>1</v>
      </c>
      <c r="C87" s="4">
        <v>500</v>
      </c>
      <c r="D87" s="4">
        <v>500</v>
      </c>
      <c r="E87" s="4">
        <f t="shared" si="5"/>
        <v>1000</v>
      </c>
      <c r="F87" s="4">
        <v>0</v>
      </c>
      <c r="G87" s="4">
        <f t="shared" si="4"/>
        <v>1000</v>
      </c>
      <c r="H87" s="5">
        <f t="shared" si="6"/>
        <v>0</v>
      </c>
      <c r="I87">
        <v>20</v>
      </c>
      <c r="J87"/>
    </row>
    <row r="88" spans="1:10">
      <c r="B88" s="15">
        <v>2</v>
      </c>
      <c r="C88" s="4">
        <v>700</v>
      </c>
      <c r="D88" s="4">
        <v>700</v>
      </c>
      <c r="E88" s="4">
        <f t="shared" si="5"/>
        <v>1400</v>
      </c>
      <c r="F88" s="4">
        <v>0</v>
      </c>
      <c r="G88" s="4">
        <f t="shared" si="4"/>
        <v>1400</v>
      </c>
      <c r="H88" s="5">
        <f t="shared" si="6"/>
        <v>0</v>
      </c>
      <c r="I88" s="4">
        <v>30</v>
      </c>
      <c r="J88" s="62">
        <f>$G88/I88</f>
        <v>46.666666666666664</v>
      </c>
    </row>
    <row r="89" spans="1:10" hidden="1">
      <c r="B89" s="4">
        <v>3</v>
      </c>
      <c r="C89" s="4">
        <v>500</v>
      </c>
      <c r="D89" s="4">
        <v>500</v>
      </c>
      <c r="E89" s="4">
        <f t="shared" si="5"/>
        <v>1000</v>
      </c>
      <c r="F89" s="4">
        <v>45</v>
      </c>
      <c r="G89" s="4">
        <f t="shared" si="4"/>
        <v>955</v>
      </c>
      <c r="H89" s="5">
        <f t="shared" si="6"/>
        <v>4.4999999999999998E-2</v>
      </c>
      <c r="I89">
        <v>20</v>
      </c>
      <c r="J89"/>
    </row>
    <row r="90" spans="1:10" hidden="1">
      <c r="B90" s="15">
        <v>4</v>
      </c>
      <c r="C90" s="4">
        <v>700</v>
      </c>
      <c r="D90" s="4">
        <v>700</v>
      </c>
      <c r="E90" s="4">
        <f t="shared" si="5"/>
        <v>1400</v>
      </c>
      <c r="F90" s="4">
        <v>30</v>
      </c>
      <c r="G90" s="4">
        <f t="shared" si="4"/>
        <v>1370</v>
      </c>
      <c r="H90" s="5">
        <f t="shared" si="6"/>
        <v>2.1428571428571429E-2</v>
      </c>
      <c r="I90">
        <v>30</v>
      </c>
      <c r="J90"/>
    </row>
    <row r="91" spans="1:10">
      <c r="B91" s="15">
        <v>5</v>
      </c>
      <c r="C91" s="4">
        <v>500</v>
      </c>
      <c r="D91" s="4">
        <v>500</v>
      </c>
      <c r="E91" s="4">
        <f t="shared" si="5"/>
        <v>1000</v>
      </c>
      <c r="G91" s="4">
        <f t="shared" si="4"/>
        <v>1000</v>
      </c>
      <c r="H91" s="5">
        <f t="shared" si="6"/>
        <v>0</v>
      </c>
      <c r="I91" s="4">
        <v>20</v>
      </c>
      <c r="J91" s="62">
        <f>$G91/I91</f>
        <v>50</v>
      </c>
    </row>
    <row r="92" spans="1:10" hidden="1">
      <c r="B92" s="4">
        <v>6</v>
      </c>
      <c r="C92" s="4">
        <v>600</v>
      </c>
      <c r="D92" s="4">
        <v>600</v>
      </c>
      <c r="E92" s="4">
        <f t="shared" si="5"/>
        <v>1200</v>
      </c>
      <c r="F92" s="4">
        <v>110</v>
      </c>
      <c r="G92" s="4">
        <f t="shared" si="4"/>
        <v>1090</v>
      </c>
      <c r="H92" s="5">
        <f t="shared" si="6"/>
        <v>9.166666666666666E-2</v>
      </c>
      <c r="I92"/>
      <c r="J92"/>
    </row>
    <row r="93" spans="1:10" hidden="1">
      <c r="A93" s="2">
        <v>45793</v>
      </c>
      <c r="B93" s="4">
        <v>1</v>
      </c>
      <c r="C93" s="4">
        <v>500</v>
      </c>
      <c r="D93" s="4">
        <v>500</v>
      </c>
      <c r="E93" s="4">
        <f t="shared" si="5"/>
        <v>1000</v>
      </c>
      <c r="F93" s="4">
        <v>95</v>
      </c>
      <c r="G93" s="4">
        <f t="shared" si="4"/>
        <v>905</v>
      </c>
      <c r="H93" s="5">
        <f t="shared" si="6"/>
        <v>9.5000000000000001E-2</v>
      </c>
      <c r="I93"/>
      <c r="J93"/>
    </row>
    <row r="94" spans="1:10">
      <c r="B94" s="15">
        <v>2</v>
      </c>
      <c r="C94" s="4">
        <v>700</v>
      </c>
      <c r="D94" s="4">
        <v>700</v>
      </c>
      <c r="E94" s="4">
        <f t="shared" si="5"/>
        <v>1400</v>
      </c>
      <c r="F94" s="4">
        <v>40</v>
      </c>
      <c r="G94" s="4">
        <f t="shared" si="4"/>
        <v>1360</v>
      </c>
      <c r="H94" s="5">
        <f t="shared" si="6"/>
        <v>2.8571428571428571E-2</v>
      </c>
      <c r="I94" s="4">
        <v>30</v>
      </c>
      <c r="J94" s="62">
        <f>$G94/I94</f>
        <v>45.333333333333336</v>
      </c>
    </row>
    <row r="95" spans="1:10" hidden="1">
      <c r="B95" s="4">
        <v>3</v>
      </c>
      <c r="C95" s="4">
        <v>500</v>
      </c>
      <c r="D95" s="4">
        <v>500</v>
      </c>
      <c r="E95" s="4">
        <f t="shared" si="5"/>
        <v>1000</v>
      </c>
      <c r="F95" s="4">
        <v>35</v>
      </c>
      <c r="G95" s="4">
        <f t="shared" si="4"/>
        <v>965</v>
      </c>
      <c r="H95" s="5">
        <f t="shared" si="6"/>
        <v>3.5000000000000003E-2</v>
      </c>
      <c r="I95">
        <v>20</v>
      </c>
      <c r="J95"/>
    </row>
    <row r="96" spans="1:10" hidden="1">
      <c r="B96" s="15">
        <v>4</v>
      </c>
      <c r="C96" s="4">
        <v>700</v>
      </c>
      <c r="D96" s="4">
        <v>700</v>
      </c>
      <c r="E96" s="4">
        <f t="shared" si="5"/>
        <v>1400</v>
      </c>
      <c r="F96" s="4">
        <v>115</v>
      </c>
      <c r="G96" s="4">
        <f t="shared" si="4"/>
        <v>1285</v>
      </c>
      <c r="H96" s="5">
        <f t="shared" si="6"/>
        <v>8.2142857142857142E-2</v>
      </c>
      <c r="I96">
        <v>30</v>
      </c>
      <c r="J96"/>
    </row>
    <row r="97" spans="1:10">
      <c r="B97" s="15">
        <v>5</v>
      </c>
      <c r="C97" s="4">
        <v>500</v>
      </c>
      <c r="D97" s="4">
        <v>500</v>
      </c>
      <c r="E97" s="4">
        <f t="shared" si="5"/>
        <v>1000</v>
      </c>
      <c r="G97" s="4">
        <f t="shared" si="4"/>
        <v>1000</v>
      </c>
      <c r="H97" s="5">
        <f t="shared" si="6"/>
        <v>0</v>
      </c>
      <c r="I97" s="4">
        <v>20</v>
      </c>
      <c r="J97" s="62">
        <f>$G97/I97</f>
        <v>50</v>
      </c>
    </row>
    <row r="98" spans="1:10" hidden="1">
      <c r="B98" s="4">
        <v>6</v>
      </c>
      <c r="C98" s="4">
        <v>600</v>
      </c>
      <c r="D98" s="4">
        <v>600</v>
      </c>
      <c r="E98" s="4">
        <f t="shared" si="5"/>
        <v>1200</v>
      </c>
      <c r="F98" s="4">
        <v>160</v>
      </c>
      <c r="G98" s="4">
        <f t="shared" si="4"/>
        <v>1040</v>
      </c>
      <c r="H98" s="5">
        <f t="shared" si="6"/>
        <v>0.13333333333333333</v>
      </c>
      <c r="I98">
        <v>30</v>
      </c>
      <c r="J98"/>
    </row>
    <row r="99" spans="1:10" hidden="1">
      <c r="A99" s="2">
        <v>45794</v>
      </c>
      <c r="B99" s="4">
        <v>1</v>
      </c>
      <c r="C99" s="4">
        <v>550</v>
      </c>
      <c r="D99" s="4">
        <v>500</v>
      </c>
      <c r="E99" s="4">
        <f t="shared" si="5"/>
        <v>1050</v>
      </c>
      <c r="F99" s="4">
        <v>65</v>
      </c>
      <c r="G99" s="4">
        <f t="shared" si="4"/>
        <v>985</v>
      </c>
      <c r="H99" s="5">
        <f t="shared" si="6"/>
        <v>6.1904761904761907E-2</v>
      </c>
      <c r="I99">
        <v>20</v>
      </c>
      <c r="J99"/>
    </row>
    <row r="100" spans="1:10">
      <c r="B100" s="15">
        <v>2</v>
      </c>
      <c r="C100" s="4">
        <v>700</v>
      </c>
      <c r="D100" s="4">
        <v>700</v>
      </c>
      <c r="E100" s="4">
        <f t="shared" si="5"/>
        <v>1400</v>
      </c>
      <c r="F100" s="4">
        <v>95</v>
      </c>
      <c r="G100" s="4">
        <f t="shared" si="4"/>
        <v>1305</v>
      </c>
      <c r="H100" s="5">
        <f t="shared" si="6"/>
        <v>6.7857142857142852E-2</v>
      </c>
      <c r="I100" s="4">
        <v>30</v>
      </c>
      <c r="J100" s="62">
        <f>$G100/I100</f>
        <v>43.5</v>
      </c>
    </row>
    <row r="101" spans="1:10" hidden="1">
      <c r="B101" s="4">
        <v>3</v>
      </c>
      <c r="C101" s="4">
        <v>500</v>
      </c>
      <c r="D101" s="4">
        <v>500</v>
      </c>
      <c r="E101" s="4">
        <f t="shared" si="5"/>
        <v>1000</v>
      </c>
      <c r="F101" s="4">
        <v>40</v>
      </c>
      <c r="G101" s="4">
        <f t="shared" si="4"/>
        <v>960</v>
      </c>
      <c r="H101" s="5">
        <f t="shared" si="6"/>
        <v>0.04</v>
      </c>
      <c r="I101">
        <v>20</v>
      </c>
      <c r="J101"/>
    </row>
    <row r="102" spans="1:10" hidden="1">
      <c r="B102" s="15">
        <v>4</v>
      </c>
      <c r="C102" s="4">
        <v>700</v>
      </c>
      <c r="D102" s="4">
        <v>700</v>
      </c>
      <c r="E102" s="4">
        <f t="shared" si="5"/>
        <v>1400</v>
      </c>
      <c r="F102" s="4">
        <v>70</v>
      </c>
      <c r="G102" s="4">
        <f t="shared" si="4"/>
        <v>1330</v>
      </c>
      <c r="H102" s="5">
        <f t="shared" si="6"/>
        <v>0.05</v>
      </c>
      <c r="I102">
        <v>30</v>
      </c>
      <c r="J102"/>
    </row>
    <row r="103" spans="1:10">
      <c r="B103" s="15">
        <v>5</v>
      </c>
      <c r="C103" s="4">
        <v>500</v>
      </c>
      <c r="D103" s="4">
        <v>500</v>
      </c>
      <c r="E103" s="4">
        <f t="shared" si="5"/>
        <v>1000</v>
      </c>
      <c r="G103" s="4">
        <f t="shared" si="4"/>
        <v>1000</v>
      </c>
      <c r="H103" s="5">
        <f t="shared" si="6"/>
        <v>0</v>
      </c>
      <c r="I103" s="4">
        <v>20</v>
      </c>
      <c r="J103" s="62">
        <f>$G103/I103</f>
        <v>50</v>
      </c>
    </row>
    <row r="104" spans="1:10" hidden="1">
      <c r="B104" s="4">
        <v>6</v>
      </c>
      <c r="C104" s="4">
        <v>600</v>
      </c>
      <c r="D104" s="4">
        <v>500</v>
      </c>
      <c r="E104" s="4">
        <f t="shared" si="5"/>
        <v>1100</v>
      </c>
      <c r="F104" s="4">
        <v>120</v>
      </c>
      <c r="G104" s="4">
        <f t="shared" si="4"/>
        <v>980</v>
      </c>
      <c r="H104" s="5">
        <f t="shared" si="6"/>
        <v>0.10909090909090909</v>
      </c>
      <c r="I104"/>
      <c r="J104"/>
    </row>
    <row r="105" spans="1:10" hidden="1">
      <c r="A105" s="2">
        <v>45795</v>
      </c>
      <c r="B105" s="4">
        <v>1</v>
      </c>
      <c r="C105" s="4">
        <v>400</v>
      </c>
      <c r="D105" s="4">
        <v>450</v>
      </c>
      <c r="E105" s="4">
        <f t="shared" si="5"/>
        <v>850</v>
      </c>
      <c r="F105" s="4">
        <v>15</v>
      </c>
      <c r="G105" s="4">
        <f t="shared" si="4"/>
        <v>835</v>
      </c>
      <c r="H105" s="5">
        <f t="shared" si="6"/>
        <v>1.7647058823529412E-2</v>
      </c>
      <c r="I105"/>
      <c r="J105"/>
    </row>
    <row r="106" spans="1:10">
      <c r="B106" s="15">
        <v>2</v>
      </c>
      <c r="C106" s="4">
        <v>600</v>
      </c>
      <c r="D106" s="4">
        <v>600</v>
      </c>
      <c r="E106" s="4">
        <f t="shared" si="5"/>
        <v>1200</v>
      </c>
      <c r="F106" s="4">
        <v>35</v>
      </c>
      <c r="G106" s="4">
        <f t="shared" si="4"/>
        <v>1165</v>
      </c>
      <c r="H106" s="5">
        <f t="shared" si="6"/>
        <v>2.9166666666666667E-2</v>
      </c>
      <c r="I106" s="4">
        <v>30</v>
      </c>
      <c r="J106" s="62">
        <f>$G106/I106</f>
        <v>38.833333333333336</v>
      </c>
    </row>
    <row r="107" spans="1:10" hidden="1">
      <c r="B107" s="4">
        <v>3</v>
      </c>
      <c r="C107" s="4">
        <v>400</v>
      </c>
      <c r="D107" s="4">
        <v>450</v>
      </c>
      <c r="E107" s="4">
        <f t="shared" si="5"/>
        <v>850</v>
      </c>
      <c r="F107" s="4">
        <v>30</v>
      </c>
      <c r="G107" s="4">
        <f t="shared" ref="G107:G170" si="7">E107-F107</f>
        <v>820</v>
      </c>
      <c r="H107" s="5">
        <f t="shared" si="6"/>
        <v>3.5294117647058823E-2</v>
      </c>
      <c r="I107">
        <v>20</v>
      </c>
      <c r="J107"/>
    </row>
    <row r="108" spans="1:10" hidden="1">
      <c r="B108" s="15">
        <v>4</v>
      </c>
      <c r="C108" s="4">
        <v>600</v>
      </c>
      <c r="D108" s="4">
        <v>600</v>
      </c>
      <c r="E108" s="4">
        <f t="shared" si="5"/>
        <v>1200</v>
      </c>
      <c r="F108" s="4">
        <v>70</v>
      </c>
      <c r="G108" s="4">
        <f t="shared" si="7"/>
        <v>1130</v>
      </c>
      <c r="H108" s="5">
        <f t="shared" si="6"/>
        <v>5.8333333333333334E-2</v>
      </c>
      <c r="I108">
        <v>30</v>
      </c>
      <c r="J108"/>
    </row>
    <row r="109" spans="1:10">
      <c r="B109" s="15">
        <v>5</v>
      </c>
      <c r="C109" s="4">
        <v>475</v>
      </c>
      <c r="D109" s="4">
        <v>475</v>
      </c>
      <c r="E109" s="4">
        <f t="shared" si="5"/>
        <v>950</v>
      </c>
      <c r="G109" s="4">
        <f t="shared" si="7"/>
        <v>950</v>
      </c>
      <c r="H109" s="5">
        <f t="shared" si="6"/>
        <v>0</v>
      </c>
      <c r="I109" s="4">
        <v>20</v>
      </c>
      <c r="J109" s="62">
        <f>$G109/I109</f>
        <v>47.5</v>
      </c>
    </row>
    <row r="110" spans="1:10" hidden="1">
      <c r="B110" s="4">
        <v>6</v>
      </c>
      <c r="C110" s="4">
        <v>600</v>
      </c>
      <c r="D110" s="4">
        <v>600</v>
      </c>
      <c r="E110" s="4">
        <f t="shared" si="5"/>
        <v>1200</v>
      </c>
      <c r="F110" s="4">
        <v>95</v>
      </c>
      <c r="G110" s="4">
        <f t="shared" si="7"/>
        <v>1105</v>
      </c>
      <c r="H110" s="5">
        <f t="shared" si="6"/>
        <v>7.9166666666666663E-2</v>
      </c>
      <c r="I110">
        <v>30</v>
      </c>
      <c r="J110"/>
    </row>
    <row r="111" spans="1:10" hidden="1">
      <c r="A111" s="2">
        <v>45796</v>
      </c>
      <c r="B111" s="4">
        <v>1</v>
      </c>
      <c r="C111" s="4">
        <v>600</v>
      </c>
      <c r="D111" s="4">
        <v>600</v>
      </c>
      <c r="E111" s="4">
        <f t="shared" si="5"/>
        <v>1200</v>
      </c>
      <c r="F111" s="4">
        <v>0</v>
      </c>
      <c r="G111" s="4">
        <f t="shared" si="7"/>
        <v>1200</v>
      </c>
      <c r="H111" s="5">
        <f t="shared" si="6"/>
        <v>0</v>
      </c>
      <c r="I111">
        <v>20</v>
      </c>
      <c r="J111"/>
    </row>
    <row r="112" spans="1:10">
      <c r="B112" s="15">
        <v>2</v>
      </c>
      <c r="C112" s="4">
        <v>700</v>
      </c>
      <c r="D112" s="4">
        <v>700</v>
      </c>
      <c r="E112" s="4">
        <f t="shared" si="5"/>
        <v>1400</v>
      </c>
      <c r="F112" s="4">
        <v>15</v>
      </c>
      <c r="G112" s="4">
        <f t="shared" si="7"/>
        <v>1385</v>
      </c>
      <c r="H112" s="5">
        <f t="shared" si="6"/>
        <v>1.0714285714285714E-2</v>
      </c>
      <c r="I112" s="4">
        <v>30</v>
      </c>
      <c r="J112" s="62">
        <f>$G112/I112</f>
        <v>46.166666666666664</v>
      </c>
    </row>
    <row r="113" spans="1:10" hidden="1">
      <c r="B113" s="4">
        <v>3</v>
      </c>
      <c r="C113" s="4">
        <v>400</v>
      </c>
      <c r="D113" s="4">
        <v>500</v>
      </c>
      <c r="E113" s="4">
        <f t="shared" si="5"/>
        <v>900</v>
      </c>
      <c r="F113" s="4">
        <v>25</v>
      </c>
      <c r="G113" s="4">
        <f t="shared" si="7"/>
        <v>875</v>
      </c>
      <c r="H113" s="5">
        <f t="shared" si="6"/>
        <v>2.7777777777777776E-2</v>
      </c>
      <c r="I113">
        <v>20</v>
      </c>
      <c r="J113"/>
    </row>
    <row r="114" spans="1:10" hidden="1">
      <c r="B114" s="15">
        <v>4</v>
      </c>
      <c r="C114" s="4">
        <v>700</v>
      </c>
      <c r="D114" s="4">
        <v>700</v>
      </c>
      <c r="E114" s="4">
        <f t="shared" si="5"/>
        <v>1400</v>
      </c>
      <c r="F114" s="4">
        <v>0</v>
      </c>
      <c r="G114" s="4">
        <f t="shared" si="7"/>
        <v>1400</v>
      </c>
      <c r="H114" s="5">
        <f t="shared" si="6"/>
        <v>0</v>
      </c>
      <c r="I114">
        <v>30</v>
      </c>
      <c r="J114"/>
    </row>
    <row r="115" spans="1:10">
      <c r="B115" s="15">
        <v>5</v>
      </c>
      <c r="C115" s="4">
        <v>475</v>
      </c>
      <c r="D115" s="4">
        <v>475</v>
      </c>
      <c r="E115" s="4">
        <f t="shared" si="5"/>
        <v>950</v>
      </c>
      <c r="F115" s="4">
        <v>20</v>
      </c>
      <c r="G115" s="4">
        <f t="shared" si="7"/>
        <v>930</v>
      </c>
      <c r="H115" s="5">
        <f t="shared" si="6"/>
        <v>2.1052631578947368E-2</v>
      </c>
      <c r="I115" s="4">
        <v>20</v>
      </c>
      <c r="J115" s="62">
        <f>$G115/I115</f>
        <v>46.5</v>
      </c>
    </row>
    <row r="116" spans="1:10" hidden="1">
      <c r="B116" s="4">
        <v>6</v>
      </c>
      <c r="C116" s="4">
        <v>500</v>
      </c>
      <c r="D116" s="4">
        <v>500</v>
      </c>
      <c r="E116" s="4">
        <f t="shared" si="5"/>
        <v>1000</v>
      </c>
      <c r="F116" s="4">
        <v>100</v>
      </c>
      <c r="G116" s="4">
        <f t="shared" si="7"/>
        <v>900</v>
      </c>
      <c r="H116" s="5">
        <f t="shared" si="6"/>
        <v>0.1</v>
      </c>
      <c r="I116"/>
      <c r="J116"/>
    </row>
    <row r="117" spans="1:10" hidden="1">
      <c r="A117" s="2">
        <v>45797</v>
      </c>
      <c r="B117" s="4">
        <v>1</v>
      </c>
      <c r="C117" s="4">
        <v>600</v>
      </c>
      <c r="D117" s="4">
        <v>600</v>
      </c>
      <c r="E117" s="4">
        <f t="shared" si="5"/>
        <v>1200</v>
      </c>
      <c r="F117" s="4">
        <v>35</v>
      </c>
      <c r="G117" s="4">
        <f t="shared" si="7"/>
        <v>1165</v>
      </c>
      <c r="H117" s="5">
        <f t="shared" si="6"/>
        <v>2.9166666666666667E-2</v>
      </c>
      <c r="I117"/>
      <c r="J117"/>
    </row>
    <row r="118" spans="1:10">
      <c r="B118" s="15">
        <v>2</v>
      </c>
      <c r="C118" s="4">
        <v>700</v>
      </c>
      <c r="D118" s="4">
        <v>700</v>
      </c>
      <c r="E118" s="4">
        <f t="shared" si="5"/>
        <v>1400</v>
      </c>
      <c r="F118" s="4">
        <v>0</v>
      </c>
      <c r="G118" s="4">
        <f t="shared" si="7"/>
        <v>1400</v>
      </c>
      <c r="H118" s="5">
        <f t="shared" si="6"/>
        <v>0</v>
      </c>
      <c r="I118" s="4">
        <v>30</v>
      </c>
      <c r="J118" s="62">
        <f>$G118/I118</f>
        <v>46.666666666666664</v>
      </c>
    </row>
    <row r="119" spans="1:10" hidden="1">
      <c r="B119" s="4">
        <v>3</v>
      </c>
      <c r="C119" s="4">
        <v>400</v>
      </c>
      <c r="D119" s="4">
        <v>500</v>
      </c>
      <c r="E119" s="4">
        <f t="shared" si="5"/>
        <v>900</v>
      </c>
      <c r="F119" s="4">
        <v>15</v>
      </c>
      <c r="G119" s="4">
        <f t="shared" si="7"/>
        <v>885</v>
      </c>
      <c r="H119" s="5">
        <f t="shared" si="6"/>
        <v>1.6666666666666666E-2</v>
      </c>
      <c r="I119">
        <v>20</v>
      </c>
      <c r="J119"/>
    </row>
    <row r="120" spans="1:10" hidden="1">
      <c r="B120" s="15">
        <v>4</v>
      </c>
      <c r="C120" s="4">
        <v>700</v>
      </c>
      <c r="D120" s="4">
        <v>700</v>
      </c>
      <c r="E120" s="4">
        <f t="shared" si="5"/>
        <v>1400</v>
      </c>
      <c r="F120" s="4">
        <v>10</v>
      </c>
      <c r="G120" s="4">
        <f t="shared" si="7"/>
        <v>1390</v>
      </c>
      <c r="H120" s="5">
        <f t="shared" si="6"/>
        <v>7.1428571428571426E-3</v>
      </c>
      <c r="I120">
        <v>30</v>
      </c>
      <c r="J120"/>
    </row>
    <row r="121" spans="1:10">
      <c r="B121" s="15">
        <v>5</v>
      </c>
      <c r="C121" s="4">
        <v>475</v>
      </c>
      <c r="D121" s="4">
        <v>475</v>
      </c>
      <c r="E121" s="4">
        <f t="shared" si="5"/>
        <v>950</v>
      </c>
      <c r="F121" s="4">
        <v>0</v>
      </c>
      <c r="G121" s="4">
        <f t="shared" si="7"/>
        <v>950</v>
      </c>
      <c r="H121" s="5">
        <f t="shared" si="6"/>
        <v>0</v>
      </c>
      <c r="I121" s="4">
        <v>20</v>
      </c>
      <c r="J121" s="62">
        <f>$G121/I121</f>
        <v>47.5</v>
      </c>
    </row>
    <row r="122" spans="1:10" hidden="1">
      <c r="B122" s="4">
        <v>6</v>
      </c>
      <c r="C122" s="4">
        <v>500</v>
      </c>
      <c r="D122" s="4">
        <v>500</v>
      </c>
      <c r="E122" s="4">
        <f t="shared" si="5"/>
        <v>1000</v>
      </c>
      <c r="F122" s="4">
        <v>25</v>
      </c>
      <c r="G122" s="4">
        <f t="shared" si="7"/>
        <v>975</v>
      </c>
      <c r="H122" s="5">
        <f t="shared" si="6"/>
        <v>2.5000000000000001E-2</v>
      </c>
      <c r="I122">
        <v>30</v>
      </c>
      <c r="J122"/>
    </row>
    <row r="123" spans="1:10" hidden="1">
      <c r="A123" s="2">
        <v>45798</v>
      </c>
      <c r="B123" s="4">
        <v>1</v>
      </c>
      <c r="C123" s="4">
        <v>600</v>
      </c>
      <c r="D123" s="4">
        <v>600</v>
      </c>
      <c r="E123" s="4">
        <f t="shared" si="5"/>
        <v>1200</v>
      </c>
      <c r="F123" s="4">
        <v>35</v>
      </c>
      <c r="G123" s="4">
        <f t="shared" si="7"/>
        <v>1165</v>
      </c>
      <c r="H123" s="5">
        <f t="shared" si="6"/>
        <v>2.9166666666666667E-2</v>
      </c>
      <c r="I123">
        <v>20</v>
      </c>
      <c r="J123"/>
    </row>
    <row r="124" spans="1:10">
      <c r="B124" s="15">
        <v>2</v>
      </c>
      <c r="C124" s="4">
        <v>700</v>
      </c>
      <c r="D124" s="4">
        <v>700</v>
      </c>
      <c r="E124" s="4">
        <f t="shared" si="5"/>
        <v>1400</v>
      </c>
      <c r="F124" s="4">
        <v>0</v>
      </c>
      <c r="G124" s="4">
        <f t="shared" si="7"/>
        <v>1400</v>
      </c>
      <c r="H124" s="5">
        <f t="shared" si="6"/>
        <v>0</v>
      </c>
      <c r="I124" s="4">
        <v>30</v>
      </c>
      <c r="J124" s="62">
        <f>$G124/I124</f>
        <v>46.666666666666664</v>
      </c>
    </row>
    <row r="125" spans="1:10" hidden="1">
      <c r="B125" s="4">
        <v>3</v>
      </c>
      <c r="C125" s="4">
        <v>450</v>
      </c>
      <c r="D125" s="4">
        <v>450</v>
      </c>
      <c r="E125" s="4">
        <f t="shared" si="5"/>
        <v>900</v>
      </c>
      <c r="F125" s="4">
        <v>20</v>
      </c>
      <c r="G125" s="4">
        <f t="shared" si="7"/>
        <v>880</v>
      </c>
      <c r="H125" s="5">
        <f t="shared" si="6"/>
        <v>2.2222222222222223E-2</v>
      </c>
      <c r="I125">
        <v>20</v>
      </c>
      <c r="J125"/>
    </row>
    <row r="126" spans="1:10" hidden="1">
      <c r="B126" s="15">
        <v>4</v>
      </c>
      <c r="C126" s="4">
        <v>700</v>
      </c>
      <c r="D126" s="4">
        <v>700</v>
      </c>
      <c r="E126" s="4">
        <f t="shared" si="5"/>
        <v>1400</v>
      </c>
      <c r="F126" s="4">
        <v>0</v>
      </c>
      <c r="G126" s="4">
        <f t="shared" si="7"/>
        <v>1400</v>
      </c>
      <c r="H126" s="5">
        <f t="shared" si="6"/>
        <v>0</v>
      </c>
      <c r="I126">
        <v>30</v>
      </c>
      <c r="J126"/>
    </row>
    <row r="127" spans="1:10">
      <c r="B127" s="15">
        <v>5</v>
      </c>
      <c r="C127" s="4">
        <v>475</v>
      </c>
      <c r="D127" s="4">
        <v>475</v>
      </c>
      <c r="E127" s="4">
        <f t="shared" si="5"/>
        <v>950</v>
      </c>
      <c r="G127" s="4">
        <f t="shared" si="7"/>
        <v>950</v>
      </c>
      <c r="H127" s="5">
        <f t="shared" si="6"/>
        <v>0</v>
      </c>
      <c r="I127" s="4">
        <v>20</v>
      </c>
      <c r="J127" s="62">
        <f>$G127/I127</f>
        <v>47.5</v>
      </c>
    </row>
    <row r="128" spans="1:10" hidden="1">
      <c r="B128" s="4">
        <v>6</v>
      </c>
      <c r="C128" s="4">
        <v>500</v>
      </c>
      <c r="D128" s="4">
        <v>500</v>
      </c>
      <c r="E128" s="4">
        <f t="shared" si="5"/>
        <v>1000</v>
      </c>
      <c r="F128" s="4">
        <v>40</v>
      </c>
      <c r="G128" s="4">
        <f t="shared" si="7"/>
        <v>960</v>
      </c>
      <c r="H128" s="5">
        <f t="shared" si="6"/>
        <v>0.04</v>
      </c>
      <c r="I128"/>
      <c r="J128"/>
    </row>
    <row r="129" spans="1:10" hidden="1">
      <c r="A129" s="2">
        <v>45799</v>
      </c>
      <c r="B129" s="4">
        <v>1</v>
      </c>
      <c r="C129" s="4">
        <v>600</v>
      </c>
      <c r="D129" s="4">
        <v>600</v>
      </c>
      <c r="E129" s="4">
        <f t="shared" si="5"/>
        <v>1200</v>
      </c>
      <c r="F129" s="4">
        <v>20</v>
      </c>
      <c r="G129" s="4">
        <f t="shared" si="7"/>
        <v>1180</v>
      </c>
      <c r="H129" s="5">
        <f t="shared" si="6"/>
        <v>1.6666666666666666E-2</v>
      </c>
      <c r="I129"/>
      <c r="J129"/>
    </row>
    <row r="130" spans="1:10">
      <c r="B130" s="15">
        <v>2</v>
      </c>
      <c r="C130" s="4">
        <v>600</v>
      </c>
      <c r="D130" s="4">
        <v>600</v>
      </c>
      <c r="E130" s="4">
        <f t="shared" si="5"/>
        <v>1200</v>
      </c>
      <c r="F130" s="4">
        <v>35</v>
      </c>
      <c r="G130" s="4">
        <f t="shared" si="7"/>
        <v>1165</v>
      </c>
      <c r="H130" s="5">
        <f t="shared" si="6"/>
        <v>2.9166666666666667E-2</v>
      </c>
      <c r="I130" s="4">
        <v>30</v>
      </c>
      <c r="J130" s="62">
        <f>$G130/I130</f>
        <v>38.833333333333336</v>
      </c>
    </row>
    <row r="131" spans="1:10" hidden="1">
      <c r="B131" s="4">
        <v>3</v>
      </c>
      <c r="C131" s="4">
        <v>500</v>
      </c>
      <c r="D131" s="4">
        <v>500</v>
      </c>
      <c r="E131" s="4">
        <f t="shared" si="5"/>
        <v>1000</v>
      </c>
      <c r="F131" s="4">
        <v>15</v>
      </c>
      <c r="G131" s="4">
        <f t="shared" si="7"/>
        <v>985</v>
      </c>
      <c r="H131" s="5">
        <f t="shared" si="6"/>
        <v>1.4999999999999999E-2</v>
      </c>
      <c r="I131">
        <v>20</v>
      </c>
      <c r="J131"/>
    </row>
    <row r="132" spans="1:10" hidden="1">
      <c r="B132" s="15">
        <v>4</v>
      </c>
      <c r="C132" s="4">
        <v>600</v>
      </c>
      <c r="D132" s="4">
        <v>600</v>
      </c>
      <c r="E132" s="4">
        <f t="shared" ref="E132:E188" si="8">$C132+D132</f>
        <v>1200</v>
      </c>
      <c r="F132" s="4">
        <v>20</v>
      </c>
      <c r="G132" s="4">
        <f t="shared" si="7"/>
        <v>1180</v>
      </c>
      <c r="H132" s="5">
        <f t="shared" ref="H132:H188" si="9">$F132/E132</f>
        <v>1.6666666666666666E-2</v>
      </c>
      <c r="I132">
        <v>30</v>
      </c>
      <c r="J132"/>
    </row>
    <row r="133" spans="1:10">
      <c r="B133" s="15">
        <v>5</v>
      </c>
      <c r="C133" s="4">
        <v>475</v>
      </c>
      <c r="D133" s="4">
        <v>475</v>
      </c>
      <c r="E133" s="4">
        <f t="shared" si="8"/>
        <v>950</v>
      </c>
      <c r="F133" s="4">
        <v>35</v>
      </c>
      <c r="G133" s="4">
        <f t="shared" si="7"/>
        <v>915</v>
      </c>
      <c r="H133" s="5">
        <f t="shared" si="9"/>
        <v>3.6842105263157891E-2</v>
      </c>
      <c r="I133" s="4">
        <v>20</v>
      </c>
      <c r="J133" s="62">
        <f>$G133/I133</f>
        <v>45.75</v>
      </c>
    </row>
    <row r="134" spans="1:10" hidden="1">
      <c r="B134" s="4">
        <v>6</v>
      </c>
      <c r="C134" s="4">
        <v>500</v>
      </c>
      <c r="D134" s="4">
        <v>500</v>
      </c>
      <c r="E134" s="4">
        <f t="shared" si="8"/>
        <v>1000</v>
      </c>
      <c r="F134" s="4">
        <v>50</v>
      </c>
      <c r="G134" s="4">
        <f t="shared" si="7"/>
        <v>950</v>
      </c>
      <c r="H134" s="5">
        <f t="shared" si="9"/>
        <v>0.05</v>
      </c>
      <c r="I134">
        <v>30</v>
      </c>
      <c r="J134"/>
    </row>
    <row r="135" spans="1:10" hidden="1">
      <c r="A135" s="2">
        <v>45800</v>
      </c>
      <c r="B135" s="4">
        <v>1</v>
      </c>
      <c r="C135" s="4">
        <v>600</v>
      </c>
      <c r="D135" s="4">
        <v>600</v>
      </c>
      <c r="E135" s="4">
        <f t="shared" si="8"/>
        <v>1200</v>
      </c>
      <c r="F135" s="4">
        <v>25</v>
      </c>
      <c r="G135" s="4">
        <f t="shared" si="7"/>
        <v>1175</v>
      </c>
      <c r="H135" s="5">
        <f t="shared" si="9"/>
        <v>2.0833333333333332E-2</v>
      </c>
      <c r="I135">
        <v>20</v>
      </c>
      <c r="J135"/>
    </row>
    <row r="136" spans="1:10">
      <c r="B136" s="15">
        <v>2</v>
      </c>
      <c r="C136" s="4">
        <v>600</v>
      </c>
      <c r="D136" s="4">
        <v>600</v>
      </c>
      <c r="E136" s="4">
        <f t="shared" si="8"/>
        <v>1200</v>
      </c>
      <c r="F136" s="4">
        <v>30</v>
      </c>
      <c r="G136" s="4">
        <f t="shared" si="7"/>
        <v>1170</v>
      </c>
      <c r="H136" s="5">
        <f t="shared" si="9"/>
        <v>2.5000000000000001E-2</v>
      </c>
      <c r="I136" s="4">
        <v>30</v>
      </c>
      <c r="J136" s="62">
        <f>$G136/I136</f>
        <v>39</v>
      </c>
    </row>
    <row r="137" spans="1:10" hidden="1">
      <c r="B137" s="4">
        <v>3</v>
      </c>
      <c r="C137" s="4">
        <v>500</v>
      </c>
      <c r="D137" s="4">
        <v>500</v>
      </c>
      <c r="E137" s="4">
        <f t="shared" si="8"/>
        <v>1000</v>
      </c>
      <c r="F137" s="4">
        <v>50</v>
      </c>
      <c r="G137" s="4">
        <f t="shared" si="7"/>
        <v>950</v>
      </c>
      <c r="H137" s="5">
        <f t="shared" si="9"/>
        <v>0.05</v>
      </c>
      <c r="I137">
        <v>20</v>
      </c>
      <c r="J137"/>
    </row>
    <row r="138" spans="1:10" hidden="1">
      <c r="B138" s="15">
        <v>4</v>
      </c>
      <c r="C138" s="4">
        <v>600</v>
      </c>
      <c r="D138" s="4">
        <v>600</v>
      </c>
      <c r="E138" s="4">
        <f t="shared" si="8"/>
        <v>1200</v>
      </c>
      <c r="F138" s="4">
        <v>15</v>
      </c>
      <c r="G138" s="4">
        <f t="shared" si="7"/>
        <v>1185</v>
      </c>
      <c r="H138" s="5">
        <f t="shared" si="9"/>
        <v>1.2500000000000001E-2</v>
      </c>
      <c r="I138">
        <v>30</v>
      </c>
      <c r="J138"/>
    </row>
    <row r="139" spans="1:10">
      <c r="B139" s="15">
        <v>5</v>
      </c>
      <c r="C139" s="4">
        <v>475</v>
      </c>
      <c r="D139" s="4">
        <v>475</v>
      </c>
      <c r="E139" s="4">
        <f t="shared" si="8"/>
        <v>950</v>
      </c>
      <c r="G139" s="4">
        <f t="shared" si="7"/>
        <v>950</v>
      </c>
      <c r="H139" s="5">
        <f t="shared" si="9"/>
        <v>0</v>
      </c>
      <c r="I139" s="4">
        <v>20</v>
      </c>
      <c r="J139" s="62">
        <f>$G139/I139</f>
        <v>47.5</v>
      </c>
    </row>
    <row r="140" spans="1:10" hidden="1">
      <c r="B140" s="4">
        <v>6</v>
      </c>
      <c r="C140" s="4">
        <v>500</v>
      </c>
      <c r="D140" s="4">
        <v>500</v>
      </c>
      <c r="E140" s="4">
        <f t="shared" si="8"/>
        <v>1000</v>
      </c>
      <c r="F140" s="4">
        <v>35</v>
      </c>
      <c r="G140" s="4">
        <f t="shared" si="7"/>
        <v>965</v>
      </c>
      <c r="H140" s="5">
        <f t="shared" si="9"/>
        <v>3.5000000000000003E-2</v>
      </c>
      <c r="I140"/>
      <c r="J140"/>
    </row>
    <row r="141" spans="1:10" hidden="1">
      <c r="A141" s="2">
        <v>45801</v>
      </c>
      <c r="B141" s="4">
        <v>1</v>
      </c>
      <c r="C141" s="4">
        <v>600</v>
      </c>
      <c r="D141" s="4">
        <v>600</v>
      </c>
      <c r="E141" s="4">
        <f t="shared" si="8"/>
        <v>1200</v>
      </c>
      <c r="F141" s="4">
        <v>25</v>
      </c>
      <c r="G141" s="4">
        <f t="shared" si="7"/>
        <v>1175</v>
      </c>
      <c r="H141" s="5">
        <f t="shared" si="9"/>
        <v>2.0833333333333332E-2</v>
      </c>
      <c r="I141"/>
      <c r="J141"/>
    </row>
    <row r="142" spans="1:10">
      <c r="B142" s="15">
        <v>2</v>
      </c>
      <c r="C142" s="4">
        <v>600</v>
      </c>
      <c r="D142" s="4">
        <v>600</v>
      </c>
      <c r="E142" s="4">
        <f t="shared" si="8"/>
        <v>1200</v>
      </c>
      <c r="F142" s="4">
        <v>50</v>
      </c>
      <c r="G142" s="4">
        <f t="shared" si="7"/>
        <v>1150</v>
      </c>
      <c r="H142" s="5">
        <f t="shared" si="9"/>
        <v>4.1666666666666664E-2</v>
      </c>
      <c r="I142" s="4">
        <v>30</v>
      </c>
      <c r="J142" s="62">
        <f>$G142/I142</f>
        <v>38.333333333333336</v>
      </c>
    </row>
    <row r="143" spans="1:10" hidden="1">
      <c r="B143" s="4">
        <v>3</v>
      </c>
      <c r="C143" s="4">
        <v>500</v>
      </c>
      <c r="D143" s="4">
        <v>500</v>
      </c>
      <c r="E143" s="4">
        <f t="shared" si="8"/>
        <v>1000</v>
      </c>
      <c r="F143" s="4">
        <v>30</v>
      </c>
      <c r="G143" s="4">
        <f t="shared" si="7"/>
        <v>970</v>
      </c>
      <c r="H143" s="5">
        <f t="shared" si="9"/>
        <v>0.03</v>
      </c>
      <c r="I143">
        <v>20</v>
      </c>
      <c r="J143"/>
    </row>
    <row r="144" spans="1:10" hidden="1">
      <c r="B144" s="15">
        <v>4</v>
      </c>
      <c r="C144" s="4">
        <v>600</v>
      </c>
      <c r="D144" s="4">
        <v>600</v>
      </c>
      <c r="E144" s="4">
        <f t="shared" si="8"/>
        <v>1200</v>
      </c>
      <c r="F144" s="4">
        <v>25</v>
      </c>
      <c r="G144" s="4">
        <f t="shared" si="7"/>
        <v>1175</v>
      </c>
      <c r="H144" s="5">
        <f t="shared" si="9"/>
        <v>2.0833333333333332E-2</v>
      </c>
      <c r="I144">
        <v>30</v>
      </c>
      <c r="J144"/>
    </row>
    <row r="145" spans="1:10">
      <c r="B145" s="15">
        <v>5</v>
      </c>
      <c r="C145" s="4">
        <v>475</v>
      </c>
      <c r="D145" s="4">
        <v>475</v>
      </c>
      <c r="E145" s="4">
        <f t="shared" si="8"/>
        <v>950</v>
      </c>
      <c r="F145" s="4">
        <v>30</v>
      </c>
      <c r="G145" s="4">
        <f t="shared" si="7"/>
        <v>920</v>
      </c>
      <c r="H145" s="5">
        <f t="shared" si="9"/>
        <v>3.1578947368421054E-2</v>
      </c>
      <c r="I145" s="4">
        <v>20</v>
      </c>
      <c r="J145" s="62">
        <f>$G145/I145</f>
        <v>46</v>
      </c>
    </row>
    <row r="146" spans="1:10" hidden="1">
      <c r="B146" s="4">
        <v>6</v>
      </c>
      <c r="C146" s="4">
        <v>500</v>
      </c>
      <c r="D146" s="4">
        <v>500</v>
      </c>
      <c r="E146" s="4">
        <f t="shared" si="8"/>
        <v>1000</v>
      </c>
      <c r="F146" s="4">
        <v>50</v>
      </c>
      <c r="G146" s="4">
        <f t="shared" si="7"/>
        <v>950</v>
      </c>
      <c r="H146" s="5">
        <f t="shared" si="9"/>
        <v>0.05</v>
      </c>
      <c r="I146">
        <v>30</v>
      </c>
      <c r="J146"/>
    </row>
    <row r="147" spans="1:10" hidden="1">
      <c r="A147" s="2">
        <v>45802</v>
      </c>
      <c r="B147" s="4">
        <v>1</v>
      </c>
      <c r="C147" s="4">
        <v>600</v>
      </c>
      <c r="D147" s="4">
        <v>600</v>
      </c>
      <c r="E147" s="4">
        <f t="shared" si="8"/>
        <v>1200</v>
      </c>
      <c r="F147" s="4">
        <v>25</v>
      </c>
      <c r="G147" s="4">
        <f t="shared" si="7"/>
        <v>1175</v>
      </c>
      <c r="H147" s="5">
        <f t="shared" si="9"/>
        <v>2.0833333333333332E-2</v>
      </c>
      <c r="I147">
        <v>20</v>
      </c>
      <c r="J147"/>
    </row>
    <row r="148" spans="1:10">
      <c r="B148" s="15">
        <v>2</v>
      </c>
      <c r="C148" s="4">
        <v>700</v>
      </c>
      <c r="D148" s="4">
        <v>700</v>
      </c>
      <c r="E148" s="4">
        <f t="shared" si="8"/>
        <v>1400</v>
      </c>
      <c r="F148" s="4">
        <v>30</v>
      </c>
      <c r="G148" s="4">
        <f t="shared" si="7"/>
        <v>1370</v>
      </c>
      <c r="H148" s="5">
        <f t="shared" si="9"/>
        <v>2.1428571428571429E-2</v>
      </c>
      <c r="I148" s="4">
        <v>30</v>
      </c>
      <c r="J148" s="62">
        <f>$G148/I148</f>
        <v>45.666666666666664</v>
      </c>
    </row>
    <row r="149" spans="1:10" hidden="1">
      <c r="B149" s="4">
        <v>3</v>
      </c>
      <c r="C149" s="4">
        <v>500</v>
      </c>
      <c r="D149" s="4">
        <v>500</v>
      </c>
      <c r="E149" s="4">
        <f t="shared" si="8"/>
        <v>1000</v>
      </c>
      <c r="F149" s="4">
        <v>25</v>
      </c>
      <c r="G149" s="4">
        <f t="shared" si="7"/>
        <v>975</v>
      </c>
      <c r="H149" s="5">
        <f t="shared" si="9"/>
        <v>2.5000000000000001E-2</v>
      </c>
      <c r="I149">
        <v>20</v>
      </c>
      <c r="J149"/>
    </row>
    <row r="150" spans="1:10" hidden="1">
      <c r="B150" s="15">
        <v>4</v>
      </c>
      <c r="C150" s="4">
        <v>800</v>
      </c>
      <c r="D150" s="4">
        <v>800</v>
      </c>
      <c r="E150" s="4">
        <f t="shared" si="8"/>
        <v>1600</v>
      </c>
      <c r="F150" s="4">
        <v>30</v>
      </c>
      <c r="G150" s="4">
        <f t="shared" si="7"/>
        <v>1570</v>
      </c>
      <c r="H150" s="5">
        <f t="shared" si="9"/>
        <v>1.8749999999999999E-2</v>
      </c>
      <c r="I150">
        <v>30</v>
      </c>
      <c r="J150"/>
    </row>
    <row r="151" spans="1:10">
      <c r="B151" s="15">
        <v>5</v>
      </c>
      <c r="C151" s="4">
        <v>475</v>
      </c>
      <c r="D151" s="4">
        <v>475</v>
      </c>
      <c r="E151" s="4">
        <f t="shared" si="8"/>
        <v>950</v>
      </c>
      <c r="F151" s="4">
        <v>50</v>
      </c>
      <c r="G151" s="4">
        <f t="shared" si="7"/>
        <v>900</v>
      </c>
      <c r="H151" s="5">
        <f t="shared" si="9"/>
        <v>5.2631578947368418E-2</v>
      </c>
      <c r="I151" s="4">
        <v>20</v>
      </c>
      <c r="J151" s="62">
        <f>$G151/I151</f>
        <v>45</v>
      </c>
    </row>
    <row r="152" spans="1:10" hidden="1">
      <c r="B152" s="4">
        <v>6</v>
      </c>
      <c r="C152" s="4">
        <v>500</v>
      </c>
      <c r="D152" s="4">
        <v>500</v>
      </c>
      <c r="E152" s="4">
        <f t="shared" si="8"/>
        <v>1000</v>
      </c>
      <c r="F152" s="4">
        <v>65</v>
      </c>
      <c r="G152" s="4">
        <f t="shared" si="7"/>
        <v>935</v>
      </c>
      <c r="H152" s="5">
        <f t="shared" si="9"/>
        <v>6.5000000000000002E-2</v>
      </c>
      <c r="I152"/>
      <c r="J152"/>
    </row>
    <row r="153" spans="1:10" hidden="1">
      <c r="A153" s="2">
        <v>45803</v>
      </c>
      <c r="B153" s="4">
        <v>1</v>
      </c>
      <c r="C153" s="4">
        <v>600</v>
      </c>
      <c r="D153" s="4">
        <v>600</v>
      </c>
      <c r="E153" s="4">
        <f t="shared" si="8"/>
        <v>1200</v>
      </c>
      <c r="F153" s="4">
        <v>15</v>
      </c>
      <c r="G153" s="4">
        <f t="shared" si="7"/>
        <v>1185</v>
      </c>
      <c r="H153" s="5">
        <f t="shared" si="9"/>
        <v>1.2500000000000001E-2</v>
      </c>
      <c r="I153"/>
      <c r="J153"/>
    </row>
    <row r="154" spans="1:10">
      <c r="B154" s="15">
        <v>2</v>
      </c>
      <c r="C154" s="4">
        <v>600</v>
      </c>
      <c r="D154" s="4">
        <v>600</v>
      </c>
      <c r="E154" s="4">
        <f t="shared" si="8"/>
        <v>1200</v>
      </c>
      <c r="F154" s="4">
        <v>10</v>
      </c>
      <c r="G154" s="4">
        <f t="shared" si="7"/>
        <v>1190</v>
      </c>
      <c r="H154" s="5">
        <f t="shared" si="9"/>
        <v>8.3333333333333332E-3</v>
      </c>
      <c r="I154" s="4">
        <v>30</v>
      </c>
      <c r="J154" s="62">
        <f>$G154/I154</f>
        <v>39.666666666666664</v>
      </c>
    </row>
    <row r="155" spans="1:10" hidden="1">
      <c r="B155" s="4">
        <v>3</v>
      </c>
      <c r="C155" s="4">
        <v>500</v>
      </c>
      <c r="D155" s="4">
        <v>500</v>
      </c>
      <c r="E155" s="4">
        <f t="shared" si="8"/>
        <v>1000</v>
      </c>
      <c r="F155" s="4">
        <v>90</v>
      </c>
      <c r="G155" s="4">
        <f t="shared" si="7"/>
        <v>910</v>
      </c>
      <c r="H155" s="5">
        <f t="shared" si="9"/>
        <v>0.09</v>
      </c>
      <c r="I155">
        <v>20</v>
      </c>
      <c r="J155"/>
    </row>
    <row r="156" spans="1:10" hidden="1">
      <c r="B156" s="15">
        <v>4</v>
      </c>
      <c r="C156" s="4">
        <v>600</v>
      </c>
      <c r="D156" s="4">
        <v>600</v>
      </c>
      <c r="E156" s="4">
        <f t="shared" si="8"/>
        <v>1200</v>
      </c>
      <c r="F156" s="4">
        <v>20</v>
      </c>
      <c r="G156" s="4">
        <f t="shared" si="7"/>
        <v>1180</v>
      </c>
      <c r="H156" s="5">
        <f t="shared" si="9"/>
        <v>1.6666666666666666E-2</v>
      </c>
      <c r="I156">
        <v>30</v>
      </c>
      <c r="J156"/>
    </row>
    <row r="157" spans="1:10">
      <c r="B157" s="15">
        <v>5</v>
      </c>
      <c r="C157" s="4">
        <v>475</v>
      </c>
      <c r="D157" s="4">
        <v>475</v>
      </c>
      <c r="E157" s="4">
        <f t="shared" si="8"/>
        <v>950</v>
      </c>
      <c r="F157" s="4">
        <v>70</v>
      </c>
      <c r="G157" s="4">
        <f t="shared" si="7"/>
        <v>880</v>
      </c>
      <c r="H157" s="5">
        <f t="shared" si="9"/>
        <v>7.3684210526315783E-2</v>
      </c>
      <c r="I157" s="4">
        <v>20</v>
      </c>
      <c r="J157" s="62">
        <f>$G157/I157</f>
        <v>44</v>
      </c>
    </row>
    <row r="158" spans="1:10" hidden="1">
      <c r="B158" s="4">
        <v>6</v>
      </c>
      <c r="C158" s="4">
        <v>500</v>
      </c>
      <c r="D158" s="4">
        <v>500</v>
      </c>
      <c r="E158" s="4">
        <f t="shared" si="8"/>
        <v>1000</v>
      </c>
      <c r="F158" s="4">
        <v>100</v>
      </c>
      <c r="G158" s="4">
        <f t="shared" si="7"/>
        <v>900</v>
      </c>
      <c r="H158" s="5">
        <f t="shared" si="9"/>
        <v>0.1</v>
      </c>
      <c r="I158">
        <v>30</v>
      </c>
      <c r="J158"/>
    </row>
    <row r="159" spans="1:10" hidden="1">
      <c r="A159" s="2">
        <v>45804</v>
      </c>
      <c r="B159" s="4">
        <v>1</v>
      </c>
      <c r="C159" s="4">
        <v>600</v>
      </c>
      <c r="D159" s="4">
        <v>600</v>
      </c>
      <c r="E159" s="4">
        <f t="shared" si="8"/>
        <v>1200</v>
      </c>
      <c r="F159" s="4">
        <v>5</v>
      </c>
      <c r="G159" s="4">
        <f t="shared" si="7"/>
        <v>1195</v>
      </c>
      <c r="H159" s="5">
        <f t="shared" si="9"/>
        <v>4.1666666666666666E-3</v>
      </c>
      <c r="I159">
        <v>20</v>
      </c>
      <c r="J159"/>
    </row>
    <row r="160" spans="1:10">
      <c r="B160" s="15">
        <v>2</v>
      </c>
      <c r="C160" s="4">
        <v>700</v>
      </c>
      <c r="D160" s="4">
        <v>700</v>
      </c>
      <c r="E160" s="4">
        <f t="shared" si="8"/>
        <v>1400</v>
      </c>
      <c r="F160" s="4">
        <v>15</v>
      </c>
      <c r="G160" s="4">
        <f t="shared" si="7"/>
        <v>1385</v>
      </c>
      <c r="H160" s="5">
        <f t="shared" si="9"/>
        <v>1.0714285714285714E-2</v>
      </c>
      <c r="I160" s="4">
        <v>30</v>
      </c>
      <c r="J160" s="62">
        <f>$G160/I160</f>
        <v>46.166666666666664</v>
      </c>
    </row>
    <row r="161" spans="1:10" hidden="1">
      <c r="B161" s="4">
        <v>3</v>
      </c>
      <c r="C161" s="4">
        <v>500</v>
      </c>
      <c r="D161" s="4">
        <v>500</v>
      </c>
      <c r="E161" s="4">
        <f t="shared" si="8"/>
        <v>1000</v>
      </c>
      <c r="F161" s="4">
        <v>10</v>
      </c>
      <c r="G161" s="4">
        <f t="shared" si="7"/>
        <v>990</v>
      </c>
      <c r="H161" s="5">
        <f t="shared" si="9"/>
        <v>0.01</v>
      </c>
      <c r="I161">
        <v>20</v>
      </c>
      <c r="J161"/>
    </row>
    <row r="162" spans="1:10" hidden="1">
      <c r="B162" s="15">
        <v>4</v>
      </c>
      <c r="C162" s="4">
        <v>700</v>
      </c>
      <c r="D162" s="4">
        <v>700</v>
      </c>
      <c r="E162" s="4">
        <f t="shared" si="8"/>
        <v>1400</v>
      </c>
      <c r="F162" s="4">
        <v>10</v>
      </c>
      <c r="G162" s="4">
        <f t="shared" si="7"/>
        <v>1390</v>
      </c>
      <c r="H162" s="5">
        <f t="shared" si="9"/>
        <v>7.1428571428571426E-3</v>
      </c>
      <c r="I162">
        <v>30</v>
      </c>
      <c r="J162"/>
    </row>
    <row r="163" spans="1:10">
      <c r="B163" s="15">
        <v>5</v>
      </c>
      <c r="C163" s="4">
        <v>475</v>
      </c>
      <c r="D163" s="4">
        <v>475</v>
      </c>
      <c r="E163" s="4">
        <f t="shared" si="8"/>
        <v>950</v>
      </c>
      <c r="F163" s="4">
        <v>25</v>
      </c>
      <c r="G163" s="4">
        <f t="shared" si="7"/>
        <v>925</v>
      </c>
      <c r="H163" s="5">
        <f t="shared" si="9"/>
        <v>2.6315789473684209E-2</v>
      </c>
      <c r="I163" s="4">
        <v>20</v>
      </c>
      <c r="J163" s="62">
        <f>$G163/I163</f>
        <v>46.25</v>
      </c>
    </row>
    <row r="164" spans="1:10" hidden="1">
      <c r="B164" s="4">
        <v>6</v>
      </c>
      <c r="C164" s="4">
        <v>500</v>
      </c>
      <c r="D164" s="4">
        <v>500</v>
      </c>
      <c r="E164" s="4">
        <f t="shared" si="8"/>
        <v>1000</v>
      </c>
      <c r="F164" s="4">
        <v>20</v>
      </c>
      <c r="G164" s="4">
        <f t="shared" si="7"/>
        <v>980</v>
      </c>
      <c r="H164" s="5">
        <f t="shared" si="9"/>
        <v>0.02</v>
      </c>
      <c r="I164"/>
      <c r="J164"/>
    </row>
    <row r="165" spans="1:10" hidden="1">
      <c r="A165" s="2">
        <v>45805</v>
      </c>
      <c r="B165" s="4">
        <v>1</v>
      </c>
      <c r="C165" s="4">
        <v>600</v>
      </c>
      <c r="D165" s="4">
        <v>600</v>
      </c>
      <c r="E165" s="4">
        <f t="shared" si="8"/>
        <v>1200</v>
      </c>
      <c r="F165" s="4">
        <v>30</v>
      </c>
      <c r="G165" s="4">
        <f t="shared" si="7"/>
        <v>1170</v>
      </c>
      <c r="H165" s="5">
        <f t="shared" si="9"/>
        <v>2.5000000000000001E-2</v>
      </c>
      <c r="I165"/>
      <c r="J165"/>
    </row>
    <row r="166" spans="1:10">
      <c r="B166" s="15">
        <v>2</v>
      </c>
      <c r="C166" s="4">
        <v>745</v>
      </c>
      <c r="D166" s="4">
        <v>745</v>
      </c>
      <c r="E166" s="4">
        <f t="shared" si="8"/>
        <v>1490</v>
      </c>
      <c r="F166" s="4">
        <v>45</v>
      </c>
      <c r="G166" s="4">
        <f t="shared" si="7"/>
        <v>1445</v>
      </c>
      <c r="H166" s="5">
        <f t="shared" si="9"/>
        <v>3.0201342281879196E-2</v>
      </c>
      <c r="I166" s="4">
        <v>30</v>
      </c>
      <c r="J166" s="62">
        <f>$G166/I166</f>
        <v>48.166666666666664</v>
      </c>
    </row>
    <row r="167" spans="1:10" hidden="1">
      <c r="B167" s="4">
        <v>3</v>
      </c>
      <c r="C167" s="4">
        <v>550</v>
      </c>
      <c r="D167" s="4">
        <v>500</v>
      </c>
      <c r="E167" s="4">
        <f t="shared" si="8"/>
        <v>1050</v>
      </c>
      <c r="F167" s="4">
        <v>60</v>
      </c>
      <c r="G167" s="4">
        <f t="shared" si="7"/>
        <v>990</v>
      </c>
      <c r="H167" s="5">
        <f t="shared" si="9"/>
        <v>5.7142857142857141E-2</v>
      </c>
      <c r="I167">
        <v>20</v>
      </c>
      <c r="J167"/>
    </row>
    <row r="168" spans="1:10" hidden="1">
      <c r="B168" s="15">
        <v>4</v>
      </c>
      <c r="C168" s="4">
        <v>745</v>
      </c>
      <c r="D168" s="4">
        <v>745</v>
      </c>
      <c r="E168" s="4">
        <f t="shared" si="8"/>
        <v>1490</v>
      </c>
      <c r="F168" s="4">
        <v>0</v>
      </c>
      <c r="G168" s="4">
        <f t="shared" si="7"/>
        <v>1490</v>
      </c>
      <c r="H168" s="5">
        <f t="shared" si="9"/>
        <v>0</v>
      </c>
      <c r="I168">
        <v>30</v>
      </c>
      <c r="J168"/>
    </row>
    <row r="169" spans="1:10">
      <c r="B169" s="15">
        <v>5</v>
      </c>
      <c r="C169" s="4">
        <v>488</v>
      </c>
      <c r="D169" s="4">
        <v>580</v>
      </c>
      <c r="E169" s="4">
        <f t="shared" si="8"/>
        <v>1068</v>
      </c>
      <c r="F169" s="4">
        <v>35</v>
      </c>
      <c r="G169" s="4">
        <f t="shared" si="7"/>
        <v>1033</v>
      </c>
      <c r="H169" s="5">
        <f t="shared" si="9"/>
        <v>3.2771535580524341E-2</v>
      </c>
      <c r="I169" s="4">
        <v>20</v>
      </c>
      <c r="J169" s="62">
        <f>$G169/I169</f>
        <v>51.65</v>
      </c>
    </row>
    <row r="170" spans="1:10" hidden="1">
      <c r="B170" s="4">
        <v>6</v>
      </c>
      <c r="C170" s="4">
        <v>550</v>
      </c>
      <c r="D170" s="4">
        <v>500</v>
      </c>
      <c r="E170" s="4">
        <f t="shared" si="8"/>
        <v>1050</v>
      </c>
      <c r="F170" s="4">
        <v>40</v>
      </c>
      <c r="G170" s="4">
        <f t="shared" si="7"/>
        <v>1010</v>
      </c>
      <c r="H170" s="5">
        <f t="shared" si="9"/>
        <v>3.8095238095238099E-2</v>
      </c>
      <c r="I170">
        <v>30</v>
      </c>
      <c r="J170"/>
    </row>
    <row r="171" spans="1:10" hidden="1">
      <c r="A171" s="2">
        <v>45806</v>
      </c>
      <c r="B171" s="4">
        <v>1</v>
      </c>
      <c r="C171" s="4">
        <v>600</v>
      </c>
      <c r="D171" s="4">
        <v>600</v>
      </c>
      <c r="E171" s="4">
        <f t="shared" si="8"/>
        <v>1200</v>
      </c>
      <c r="F171" s="4">
        <v>15</v>
      </c>
      <c r="G171" s="4">
        <f t="shared" ref="G171:G188" si="10">E171-F171</f>
        <v>1185</v>
      </c>
      <c r="H171" s="5">
        <f t="shared" si="9"/>
        <v>1.2500000000000001E-2</v>
      </c>
      <c r="I171">
        <v>20</v>
      </c>
      <c r="J171"/>
    </row>
    <row r="172" spans="1:10">
      <c r="B172" s="15">
        <v>2</v>
      </c>
      <c r="C172" s="4">
        <v>700</v>
      </c>
      <c r="D172" s="4">
        <v>700</v>
      </c>
      <c r="E172" s="4">
        <f t="shared" si="8"/>
        <v>1400</v>
      </c>
      <c r="F172" s="4">
        <v>50</v>
      </c>
      <c r="G172" s="4">
        <f t="shared" si="10"/>
        <v>1350</v>
      </c>
      <c r="H172" s="5">
        <f t="shared" si="9"/>
        <v>3.5714285714285712E-2</v>
      </c>
      <c r="I172" s="4">
        <v>30</v>
      </c>
      <c r="J172" s="62">
        <f>$G172/I172</f>
        <v>45</v>
      </c>
    </row>
    <row r="173" spans="1:10" hidden="1">
      <c r="B173" s="4">
        <v>3</v>
      </c>
      <c r="C173" s="4">
        <v>500</v>
      </c>
      <c r="D173" s="4">
        <v>500</v>
      </c>
      <c r="E173" s="4">
        <f t="shared" si="8"/>
        <v>1000</v>
      </c>
      <c r="F173" s="4">
        <v>60</v>
      </c>
      <c r="G173" s="4">
        <f t="shared" si="10"/>
        <v>940</v>
      </c>
      <c r="H173" s="5">
        <f t="shared" si="9"/>
        <v>0.06</v>
      </c>
      <c r="I173">
        <v>20</v>
      </c>
      <c r="J173"/>
    </row>
    <row r="174" spans="1:10" hidden="1">
      <c r="B174" s="15">
        <v>4</v>
      </c>
      <c r="C174" s="4">
        <v>800</v>
      </c>
      <c r="D174" s="4">
        <v>800</v>
      </c>
      <c r="E174" s="4">
        <f t="shared" si="8"/>
        <v>1600</v>
      </c>
      <c r="F174" s="4">
        <v>35</v>
      </c>
      <c r="G174" s="4">
        <f t="shared" si="10"/>
        <v>1565</v>
      </c>
      <c r="H174" s="5">
        <f t="shared" si="9"/>
        <v>2.1874999999999999E-2</v>
      </c>
      <c r="I174">
        <v>30</v>
      </c>
      <c r="J174"/>
    </row>
    <row r="175" spans="1:10">
      <c r="B175" s="15">
        <v>5</v>
      </c>
      <c r="C175" s="4">
        <v>475</v>
      </c>
      <c r="D175" s="4">
        <v>475</v>
      </c>
      <c r="E175" s="4">
        <f t="shared" si="8"/>
        <v>950</v>
      </c>
      <c r="F175" s="4">
        <v>45</v>
      </c>
      <c r="G175" s="4">
        <f t="shared" si="10"/>
        <v>905</v>
      </c>
      <c r="H175" s="5">
        <f t="shared" si="9"/>
        <v>4.736842105263158E-2</v>
      </c>
      <c r="I175" s="4">
        <v>20</v>
      </c>
      <c r="J175" s="62">
        <f>$G175/I175</f>
        <v>45.25</v>
      </c>
    </row>
    <row r="176" spans="1:10" hidden="1">
      <c r="B176" s="4">
        <v>6</v>
      </c>
      <c r="C176" s="4">
        <v>500</v>
      </c>
      <c r="D176" s="4">
        <v>500</v>
      </c>
      <c r="E176" s="4">
        <f t="shared" si="8"/>
        <v>1000</v>
      </c>
      <c r="F176" s="4">
        <v>90</v>
      </c>
      <c r="G176" s="4">
        <f t="shared" si="10"/>
        <v>910</v>
      </c>
      <c r="H176" s="5">
        <f t="shared" si="9"/>
        <v>0.09</v>
      </c>
      <c r="I176"/>
      <c r="J176"/>
    </row>
    <row r="177" spans="1:12" hidden="1">
      <c r="A177" s="2">
        <v>45807</v>
      </c>
      <c r="B177" s="4">
        <v>1</v>
      </c>
      <c r="C177" s="4">
        <v>600</v>
      </c>
      <c r="D177" s="4">
        <v>600</v>
      </c>
      <c r="E177" s="4">
        <f t="shared" si="8"/>
        <v>1200</v>
      </c>
      <c r="F177" s="4">
        <v>40</v>
      </c>
      <c r="G177" s="4">
        <f t="shared" si="10"/>
        <v>1160</v>
      </c>
      <c r="H177" s="5">
        <f t="shared" si="9"/>
        <v>3.3333333333333333E-2</v>
      </c>
      <c r="I177"/>
      <c r="J177"/>
    </row>
    <row r="178" spans="1:12">
      <c r="B178" s="15">
        <v>2</v>
      </c>
      <c r="C178" s="4">
        <v>700</v>
      </c>
      <c r="D178" s="4">
        <v>700</v>
      </c>
      <c r="E178" s="4">
        <f t="shared" si="8"/>
        <v>1400</v>
      </c>
      <c r="F178" s="4">
        <v>35</v>
      </c>
      <c r="G178" s="4">
        <f t="shared" si="10"/>
        <v>1365</v>
      </c>
      <c r="H178" s="5">
        <f t="shared" si="9"/>
        <v>2.5000000000000001E-2</v>
      </c>
      <c r="I178" s="4">
        <v>30</v>
      </c>
      <c r="J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 </c>
      <c r="E179" s="4">
        <f t="shared" si="8"/>
        <v>1000</v>
      </c>
      <c r="F179" s="4">
        <v>70</v>
      </c>
      <c r="G179" s="4">
        <f t="shared" si="10"/>
        <v>930</v>
      </c>
      <c r="H179" s="5">
        <f t="shared" si="9"/>
        <v>7.0000000000000007E-2</v>
      </c>
      <c r="I179">
        <v>20</v>
      </c>
      <c r="J179"/>
    </row>
    <row r="180" spans="1:12" hidden="1">
      <c r="B180" s="15">
        <v>4</v>
      </c>
      <c r="C180" s="4">
        <v>800</v>
      </c>
      <c r="D180" s="4">
        <v>800</v>
      </c>
      <c r="E180" s="4">
        <f t="shared" si="8"/>
        <v>1600</v>
      </c>
      <c r="F180" s="4">
        <v>15</v>
      </c>
      <c r="G180" s="4">
        <f t="shared" si="10"/>
        <v>1585</v>
      </c>
      <c r="H180" s="5">
        <f t="shared" si="9"/>
        <v>9.3749999999999997E-3</v>
      </c>
      <c r="I180">
        <v>30</v>
      </c>
      <c r="J180"/>
    </row>
    <row r="181" spans="1:12">
      <c r="B181" s="15">
        <v>5</v>
      </c>
      <c r="C181" s="4">
        <v>475</v>
      </c>
      <c r="D181" s="4">
        <v>475</v>
      </c>
      <c r="E181" s="4">
        <f t="shared" si="8"/>
        <v>950</v>
      </c>
      <c r="F181" s="4">
        <v>50</v>
      </c>
      <c r="G181" s="4">
        <f t="shared" si="10"/>
        <v>900</v>
      </c>
      <c r="H181" s="5">
        <f t="shared" si="9"/>
        <v>5.2631578947368418E-2</v>
      </c>
      <c r="I181" s="4">
        <v>20</v>
      </c>
      <c r="J181" s="62">
        <f>$G181/I181</f>
        <v>45</v>
      </c>
    </row>
    <row r="182" spans="1:12" hidden="1">
      <c r="B182" s="4">
        <v>6</v>
      </c>
      <c r="C182" s="4">
        <v>500</v>
      </c>
      <c r="D182" s="4">
        <v>500</v>
      </c>
      <c r="E182" s="4">
        <f t="shared" si="8"/>
        <v>1000</v>
      </c>
      <c r="F182" s="4">
        <v>30</v>
      </c>
      <c r="G182" s="4">
        <f t="shared" si="10"/>
        <v>970</v>
      </c>
      <c r="H182" s="5">
        <f t="shared" si="9"/>
        <v>0.03</v>
      </c>
      <c r="I182">
        <v>30</v>
      </c>
      <c r="J182"/>
    </row>
    <row r="183" spans="1:12" hidden="1">
      <c r="A183" s="2">
        <v>45808</v>
      </c>
      <c r="B183" s="4">
        <v>1</v>
      </c>
      <c r="C183" s="4">
        <v>600</v>
      </c>
      <c r="D183" s="4">
        <v>600</v>
      </c>
      <c r="E183" s="4">
        <f t="shared" si="8"/>
        <v>1200</v>
      </c>
      <c r="F183" s="4">
        <v>35</v>
      </c>
      <c r="G183" s="4">
        <f t="shared" si="10"/>
        <v>1165</v>
      </c>
      <c r="H183" s="5">
        <f t="shared" si="9"/>
        <v>2.9166666666666667E-2</v>
      </c>
      <c r="I183">
        <v>20</v>
      </c>
      <c r="J183"/>
    </row>
    <row r="184" spans="1:12">
      <c r="B184" s="15">
        <v>2</v>
      </c>
      <c r="C184" s="4">
        <v>800</v>
      </c>
      <c r="D184" s="4">
        <v>700</v>
      </c>
      <c r="E184" s="4">
        <f t="shared" si="8"/>
        <v>1500</v>
      </c>
      <c r="F184" s="4">
        <v>20</v>
      </c>
      <c r="G184" s="4">
        <f t="shared" si="10"/>
        <v>1480</v>
      </c>
      <c r="H184" s="5">
        <f t="shared" si="9"/>
        <v>1.3333333333333334E-2</v>
      </c>
      <c r="I184" s="4">
        <v>30</v>
      </c>
      <c r="J184" s="62">
        <f>$G184/I184</f>
        <v>49.333333333333336</v>
      </c>
      <c r="K184" s="4" t="s">
        <v>26</v>
      </c>
      <c r="L184" s="4">
        <v>154</v>
      </c>
    </row>
    <row r="185" spans="1:12" hidden="1">
      <c r="B185" s="4">
        <v>3</v>
      </c>
      <c r="C185" s="4">
        <v>500</v>
      </c>
      <c r="D185" s="4">
        <v>500</v>
      </c>
      <c r="E185" s="4">
        <f t="shared" si="8"/>
        <v>1000</v>
      </c>
      <c r="F185" s="4">
        <v>40</v>
      </c>
      <c r="G185" s="4">
        <f t="shared" si="10"/>
        <v>960</v>
      </c>
      <c r="H185" s="5">
        <f t="shared" si="9"/>
        <v>0.04</v>
      </c>
      <c r="I185">
        <v>20</v>
      </c>
      <c r="J185"/>
    </row>
    <row r="186" spans="1:12" hidden="1">
      <c r="B186" s="15">
        <v>4</v>
      </c>
      <c r="C186" s="4">
        <v>800</v>
      </c>
      <c r="D186" s="4">
        <v>800</v>
      </c>
      <c r="E186" s="4">
        <f t="shared" si="8"/>
        <v>1600</v>
      </c>
      <c r="F186" s="4">
        <v>35</v>
      </c>
      <c r="G186" s="4">
        <f t="shared" si="10"/>
        <v>1565</v>
      </c>
      <c r="H186" s="5">
        <f>$F186/E186</f>
        <v>2.1874999999999999E-2</v>
      </c>
      <c r="I186">
        <v>30</v>
      </c>
      <c r="J186"/>
    </row>
    <row r="187" spans="1:12">
      <c r="B187" s="15">
        <v>5</v>
      </c>
      <c r="C187" s="4">
        <v>475</v>
      </c>
      <c r="D187" s="4">
        <v>475</v>
      </c>
      <c r="E187" s="4">
        <f t="shared" si="8"/>
        <v>950</v>
      </c>
      <c r="F187" s="4">
        <v>50</v>
      </c>
      <c r="G187" s="4">
        <f t="shared" si="10"/>
        <v>900</v>
      </c>
      <c r="H187" s="5">
        <f t="shared" si="9"/>
        <v>5.2631578947368418E-2</v>
      </c>
      <c r="I187" s="4">
        <v>20</v>
      </c>
      <c r="J187" s="62">
        <f>$G187/I187</f>
        <v>45</v>
      </c>
    </row>
    <row r="188" spans="1:12" hidden="1">
      <c r="B188" s="4">
        <v>6</v>
      </c>
      <c r="C188" s="4">
        <v>500</v>
      </c>
      <c r="D188" s="4">
        <v>500</v>
      </c>
      <c r="E188" s="4">
        <f t="shared" si="8"/>
        <v>1000</v>
      </c>
      <c r="F188" s="4">
        <v>35</v>
      </c>
      <c r="G188" s="4">
        <f t="shared" si="10"/>
        <v>965</v>
      </c>
      <c r="H188" s="5">
        <f t="shared" si="9"/>
        <v>3.5000000000000003E-2</v>
      </c>
      <c r="I188"/>
      <c r="J188"/>
    </row>
    <row r="190" spans="1:12">
      <c r="E190" s="4">
        <f>AVERAGE(E4:E186)</f>
        <v>1196</v>
      </c>
      <c r="F190" s="66">
        <f>AVERAGE(F4:F186)</f>
        <v>49.601226993865033</v>
      </c>
      <c r="G190" s="8">
        <f>AVERAGE(G4:G186)</f>
        <v>1151.8196721311476</v>
      </c>
      <c r="H190" s="6">
        <f>AVERAGE(H4:H186)</f>
        <v>3.5692457831923062E-2</v>
      </c>
      <c r="I190" s="67">
        <f>AVERAGE(I4:I187)</f>
        <v>25</v>
      </c>
      <c r="J190" s="62">
        <f>AVERAGE(J4:J187)</f>
        <v>46.780645161290323</v>
      </c>
    </row>
    <row r="191" spans="1:12">
      <c r="I191" s="5"/>
    </row>
  </sheetData>
  <autoFilter ref="A2:I188" xr:uid="{595D23FB-1476-4125-860B-F8E793B21B34}">
    <filterColumn colId="1">
      <filters>
        <filter val="2"/>
        <filter val="5"/>
      </filters>
    </filterColumn>
  </autoFilter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D8A0-35EC-43C0-ACDA-B424FFB6DF98}">
  <dimension ref="A1:K182"/>
  <sheetViews>
    <sheetView workbookViewId="0">
      <selection activeCell="L180" sqref="L180"/>
    </sheetView>
  </sheetViews>
  <sheetFormatPr baseColWidth="10" defaultRowHeight="14"/>
  <cols>
    <col min="3" max="7" width="10.9140625" style="4"/>
    <col min="9" max="9" width="14" style="4" customWidth="1"/>
    <col min="10" max="10" width="27" style="4" customWidth="1"/>
  </cols>
  <sheetData>
    <row r="1" spans="1:11" ht="20.5" thickBot="1">
      <c r="A1" s="97" t="s">
        <v>22</v>
      </c>
      <c r="B1" s="97"/>
      <c r="C1" s="97"/>
      <c r="D1" s="97"/>
      <c r="E1" s="97"/>
      <c r="F1" s="97"/>
      <c r="G1" s="97"/>
      <c r="H1" s="97"/>
    </row>
    <row r="2" spans="1:11" ht="14.5" thickBot="1">
      <c r="A2" s="68" t="s">
        <v>0</v>
      </c>
      <c r="B2" s="69" t="s">
        <v>1</v>
      </c>
      <c r="C2" s="69" t="s">
        <v>2</v>
      </c>
      <c r="D2" s="69" t="s">
        <v>3</v>
      </c>
      <c r="E2" s="69" t="s">
        <v>5</v>
      </c>
      <c r="F2" s="71" t="s">
        <v>4</v>
      </c>
      <c r="G2" s="69" t="s">
        <v>7</v>
      </c>
      <c r="H2" s="70" t="s">
        <v>8</v>
      </c>
      <c r="I2" s="69" t="s">
        <v>44</v>
      </c>
      <c r="J2" s="79" t="s">
        <v>42</v>
      </c>
      <c r="K2" s="72" t="s">
        <v>45</v>
      </c>
    </row>
    <row r="3" spans="1:11">
      <c r="A3" s="2">
        <v>45809</v>
      </c>
      <c r="B3" s="4">
        <v>1</v>
      </c>
      <c r="C3" s="4">
        <v>600</v>
      </c>
      <c r="D3" s="4">
        <v>600</v>
      </c>
      <c r="E3" s="4">
        <f>$C3+D3</f>
        <v>1200</v>
      </c>
      <c r="F3" s="4">
        <v>25</v>
      </c>
      <c r="G3" s="4">
        <f>$E3-F3</f>
        <v>1175</v>
      </c>
      <c r="H3" s="5">
        <f>F3/E3</f>
        <v>2.0833333333333332E-2</v>
      </c>
      <c r="I3" s="4">
        <v>30</v>
      </c>
      <c r="J3" s="77">
        <f>$G3/I3</f>
        <v>39.166666666666664</v>
      </c>
      <c r="K3" s="78"/>
    </row>
    <row r="4" spans="1:11">
      <c r="B4" s="15">
        <v>2</v>
      </c>
      <c r="C4" s="4">
        <v>700</v>
      </c>
      <c r="D4" s="4">
        <v>700</v>
      </c>
      <c r="E4" s="4">
        <f t="shared" ref="E4:E97" si="0">$C4+D4</f>
        <v>1400</v>
      </c>
      <c r="F4" s="4">
        <v>20</v>
      </c>
      <c r="G4" s="4">
        <f t="shared" ref="G4:G97" si="1">$E4-F4</f>
        <v>1380</v>
      </c>
      <c r="H4" s="5">
        <f t="shared" ref="H4:H99" si="2">F4/E4</f>
        <v>1.4285714285714285E-2</v>
      </c>
      <c r="I4" s="4">
        <v>28</v>
      </c>
      <c r="J4" s="74">
        <f t="shared" ref="J4:J67" si="3">$G4/I4</f>
        <v>49.285714285714285</v>
      </c>
      <c r="K4" s="74">
        <f>AVERAGE(J3:J4)</f>
        <v>44.226190476190474</v>
      </c>
    </row>
    <row r="5" spans="1:11">
      <c r="B5" s="4">
        <v>3</v>
      </c>
      <c r="C5" s="4">
        <v>500</v>
      </c>
      <c r="D5" s="4">
        <v>500</v>
      </c>
      <c r="E5" s="4">
        <f t="shared" si="0"/>
        <v>1000</v>
      </c>
      <c r="F5" s="4">
        <v>45</v>
      </c>
      <c r="G5" s="4">
        <f t="shared" si="1"/>
        <v>955</v>
      </c>
      <c r="H5" s="5">
        <f t="shared" si="2"/>
        <v>4.4999999999999998E-2</v>
      </c>
      <c r="I5" s="4">
        <v>21</v>
      </c>
      <c r="J5" s="74">
        <f t="shared" si="3"/>
        <v>45.476190476190474</v>
      </c>
      <c r="K5" s="74">
        <f>AVERAGE(J5:J6)</f>
        <v>51.13095238095238</v>
      </c>
    </row>
    <row r="6" spans="1:11">
      <c r="B6" s="15">
        <v>4</v>
      </c>
      <c r="C6" s="4">
        <v>800</v>
      </c>
      <c r="D6" s="4">
        <v>800</v>
      </c>
      <c r="E6" s="4">
        <f t="shared" si="0"/>
        <v>1600</v>
      </c>
      <c r="F6" s="4">
        <v>10</v>
      </c>
      <c r="G6" s="4">
        <f t="shared" si="1"/>
        <v>1590</v>
      </c>
      <c r="H6" s="5">
        <f t="shared" si="2"/>
        <v>6.2500000000000003E-3</v>
      </c>
      <c r="I6" s="4">
        <v>28</v>
      </c>
      <c r="J6" s="74">
        <f t="shared" si="3"/>
        <v>56.785714285714285</v>
      </c>
      <c r="K6" s="74"/>
    </row>
    <row r="7" spans="1:11">
      <c r="B7" s="15">
        <v>5</v>
      </c>
      <c r="C7" s="4">
        <v>475</v>
      </c>
      <c r="D7" s="4">
        <v>475</v>
      </c>
      <c r="E7" s="4">
        <f t="shared" si="0"/>
        <v>950</v>
      </c>
      <c r="F7" s="4">
        <v>30</v>
      </c>
      <c r="G7" s="4">
        <f t="shared" si="1"/>
        <v>920</v>
      </c>
      <c r="H7" s="5">
        <f t="shared" si="2"/>
        <v>3.1578947368421054E-2</v>
      </c>
      <c r="I7" s="4">
        <v>19</v>
      </c>
      <c r="J7" s="74">
        <f t="shared" si="3"/>
        <v>48.421052631578945</v>
      </c>
      <c r="K7" s="74">
        <f>AVERAGE(J7:J8)</f>
        <v>36.845661450924609</v>
      </c>
    </row>
    <row r="8" spans="1:11">
      <c r="B8" s="4">
        <v>6</v>
      </c>
      <c r="C8" s="4">
        <v>500</v>
      </c>
      <c r="D8" s="4">
        <v>500</v>
      </c>
      <c r="E8" s="4">
        <f t="shared" si="0"/>
        <v>1000</v>
      </c>
      <c r="F8" s="4">
        <v>65</v>
      </c>
      <c r="G8" s="4">
        <f t="shared" si="1"/>
        <v>935</v>
      </c>
      <c r="H8" s="5">
        <f t="shared" si="2"/>
        <v>6.5000000000000002E-2</v>
      </c>
      <c r="I8" s="4">
        <v>37</v>
      </c>
      <c r="J8" s="74">
        <f t="shared" si="3"/>
        <v>25.27027027027027</v>
      </c>
      <c r="K8" s="73"/>
    </row>
    <row r="9" spans="1:11">
      <c r="A9" s="2">
        <v>45810</v>
      </c>
      <c r="B9" s="4">
        <v>1</v>
      </c>
      <c r="C9" s="4">
        <v>600</v>
      </c>
      <c r="D9" s="4">
        <v>600</v>
      </c>
      <c r="E9" s="4">
        <f t="shared" si="0"/>
        <v>1200</v>
      </c>
      <c r="F9" s="4">
        <v>0</v>
      </c>
      <c r="G9" s="4">
        <f t="shared" si="1"/>
        <v>1200</v>
      </c>
      <c r="H9" s="5">
        <f t="shared" si="2"/>
        <v>0</v>
      </c>
      <c r="I9" s="4">
        <v>30</v>
      </c>
      <c r="J9" s="74">
        <f t="shared" si="3"/>
        <v>40</v>
      </c>
      <c r="K9" s="73"/>
    </row>
    <row r="10" spans="1:11">
      <c r="B10" s="15">
        <v>2</v>
      </c>
      <c r="C10" s="4">
        <v>700</v>
      </c>
      <c r="D10" s="4">
        <v>700</v>
      </c>
      <c r="E10" s="4">
        <f t="shared" si="0"/>
        <v>1400</v>
      </c>
      <c r="F10" s="4">
        <v>10</v>
      </c>
      <c r="G10" s="4">
        <f t="shared" si="1"/>
        <v>1390</v>
      </c>
      <c r="H10" s="5">
        <f t="shared" si="2"/>
        <v>7.1428571428571426E-3</v>
      </c>
      <c r="I10" s="4">
        <v>28</v>
      </c>
      <c r="J10" s="74">
        <f t="shared" si="3"/>
        <v>49.642857142857146</v>
      </c>
      <c r="K10" s="74">
        <f>AVERAGE(J9:J10)</f>
        <v>44.821428571428569</v>
      </c>
    </row>
    <row r="11" spans="1:11">
      <c r="B11" s="4">
        <v>3</v>
      </c>
      <c r="C11" s="4">
        <v>500</v>
      </c>
      <c r="D11" s="4">
        <v>500</v>
      </c>
      <c r="E11" s="4">
        <f t="shared" si="0"/>
        <v>1000</v>
      </c>
      <c r="F11" s="4">
        <v>20</v>
      </c>
      <c r="G11" s="4">
        <f t="shared" si="1"/>
        <v>980</v>
      </c>
      <c r="H11" s="5">
        <f t="shared" si="2"/>
        <v>0.02</v>
      </c>
      <c r="I11" s="4">
        <v>21</v>
      </c>
      <c r="J11" s="74">
        <f t="shared" si="3"/>
        <v>46.666666666666664</v>
      </c>
      <c r="K11" s="74">
        <f>AVERAGE(J11:J12)</f>
        <v>51.904761904761905</v>
      </c>
    </row>
    <row r="12" spans="1:11">
      <c r="B12" s="15">
        <v>4</v>
      </c>
      <c r="C12" s="4">
        <v>800</v>
      </c>
      <c r="D12" s="4">
        <v>800</v>
      </c>
      <c r="E12" s="4">
        <f t="shared" si="0"/>
        <v>1600</v>
      </c>
      <c r="F12" s="4">
        <v>0</v>
      </c>
      <c r="G12" s="4">
        <f t="shared" si="1"/>
        <v>1600</v>
      </c>
      <c r="H12" s="5">
        <f t="shared" si="2"/>
        <v>0</v>
      </c>
      <c r="I12" s="4">
        <v>28</v>
      </c>
      <c r="J12" s="74">
        <f t="shared" si="3"/>
        <v>57.142857142857146</v>
      </c>
      <c r="K12" s="74"/>
    </row>
    <row r="13" spans="1:11">
      <c r="B13" s="15">
        <v>5</v>
      </c>
      <c r="C13" s="4">
        <v>475</v>
      </c>
      <c r="D13" s="4">
        <v>475</v>
      </c>
      <c r="E13" s="4">
        <f t="shared" si="0"/>
        <v>950</v>
      </c>
      <c r="F13" s="4">
        <v>25</v>
      </c>
      <c r="G13" s="4">
        <f t="shared" si="1"/>
        <v>925</v>
      </c>
      <c r="H13" s="5">
        <f t="shared" si="2"/>
        <v>2.6315789473684209E-2</v>
      </c>
      <c r="I13" s="4">
        <v>19</v>
      </c>
      <c r="J13" s="74">
        <f t="shared" si="3"/>
        <v>48.684210526315788</v>
      </c>
      <c r="K13" s="73">
        <f>AVERAGE(J13:J14)</f>
        <v>37.855618776671406</v>
      </c>
    </row>
    <row r="14" spans="1:11">
      <c r="B14" s="4">
        <v>6</v>
      </c>
      <c r="C14" s="4">
        <v>500</v>
      </c>
      <c r="D14" s="4">
        <v>500</v>
      </c>
      <c r="E14" s="4">
        <f t="shared" si="0"/>
        <v>1000</v>
      </c>
      <c r="F14" s="4">
        <v>0</v>
      </c>
      <c r="G14" s="4">
        <f t="shared" si="1"/>
        <v>1000</v>
      </c>
      <c r="H14" s="5">
        <f t="shared" si="2"/>
        <v>0</v>
      </c>
      <c r="I14" s="4">
        <v>37</v>
      </c>
      <c r="J14" s="74">
        <f t="shared" si="3"/>
        <v>27.027027027027028</v>
      </c>
      <c r="K14" s="73"/>
    </row>
    <row r="15" spans="1:11">
      <c r="A15" s="2">
        <v>45811</v>
      </c>
      <c r="B15" s="4">
        <v>1</v>
      </c>
      <c r="C15" s="4">
        <v>650</v>
      </c>
      <c r="D15" s="4">
        <v>650</v>
      </c>
      <c r="E15" s="4">
        <f t="shared" si="0"/>
        <v>1300</v>
      </c>
      <c r="F15" s="4">
        <v>45</v>
      </c>
      <c r="G15" s="4">
        <f t="shared" si="1"/>
        <v>1255</v>
      </c>
      <c r="H15" s="5">
        <f t="shared" si="2"/>
        <v>3.4615384615384617E-2</v>
      </c>
      <c r="I15" s="4">
        <v>30</v>
      </c>
      <c r="J15" s="74">
        <f t="shared" si="3"/>
        <v>41.833333333333336</v>
      </c>
      <c r="K15" s="73"/>
    </row>
    <row r="16" spans="1:11">
      <c r="B16" s="15">
        <v>2</v>
      </c>
      <c r="C16" s="4">
        <v>700</v>
      </c>
      <c r="D16" s="4">
        <v>780</v>
      </c>
      <c r="E16" s="4">
        <f t="shared" si="0"/>
        <v>1480</v>
      </c>
      <c r="F16" s="4">
        <v>0</v>
      </c>
      <c r="G16" s="4">
        <f t="shared" si="1"/>
        <v>1480</v>
      </c>
      <c r="H16" s="5">
        <f t="shared" si="2"/>
        <v>0</v>
      </c>
      <c r="I16" s="4">
        <v>28</v>
      </c>
      <c r="J16" s="74">
        <f t="shared" si="3"/>
        <v>52.857142857142854</v>
      </c>
      <c r="K16" s="74">
        <f>AVERAGE(J15:J16)</f>
        <v>47.345238095238095</v>
      </c>
    </row>
    <row r="17" spans="1:11">
      <c r="B17" s="4">
        <v>3</v>
      </c>
      <c r="C17" s="4">
        <v>500</v>
      </c>
      <c r="D17" s="4">
        <v>600</v>
      </c>
      <c r="E17" s="4">
        <f t="shared" si="0"/>
        <v>1100</v>
      </c>
      <c r="F17" s="4">
        <v>0</v>
      </c>
      <c r="G17" s="4">
        <f t="shared" si="1"/>
        <v>1100</v>
      </c>
      <c r="H17" s="5">
        <f t="shared" si="2"/>
        <v>0</v>
      </c>
      <c r="I17" s="4">
        <v>21</v>
      </c>
      <c r="J17" s="74">
        <f t="shared" si="3"/>
        <v>52.38095238095238</v>
      </c>
      <c r="K17" s="74">
        <f>AVERAGE(J17:J18)</f>
        <v>52.976190476190474</v>
      </c>
    </row>
    <row r="18" spans="1:11">
      <c r="B18" s="15">
        <v>4</v>
      </c>
      <c r="C18" s="4">
        <v>700</v>
      </c>
      <c r="D18" s="4">
        <v>800</v>
      </c>
      <c r="E18" s="4">
        <f t="shared" si="0"/>
        <v>1500</v>
      </c>
      <c r="F18" s="4">
        <v>0</v>
      </c>
      <c r="G18" s="4">
        <f t="shared" si="1"/>
        <v>1500</v>
      </c>
      <c r="H18" s="5">
        <f t="shared" si="2"/>
        <v>0</v>
      </c>
      <c r="I18" s="4">
        <v>28</v>
      </c>
      <c r="J18" s="74">
        <f t="shared" si="3"/>
        <v>53.571428571428569</v>
      </c>
      <c r="K18" s="74"/>
    </row>
    <row r="19" spans="1:11">
      <c r="B19" s="15">
        <v>5</v>
      </c>
      <c r="C19" s="4">
        <v>475</v>
      </c>
      <c r="D19" s="4">
        <v>480</v>
      </c>
      <c r="E19" s="4">
        <f t="shared" si="0"/>
        <v>955</v>
      </c>
      <c r="F19" s="4">
        <v>0</v>
      </c>
      <c r="G19" s="4">
        <f t="shared" si="1"/>
        <v>955</v>
      </c>
      <c r="H19" s="5">
        <f t="shared" si="2"/>
        <v>0</v>
      </c>
      <c r="I19" s="4">
        <v>19</v>
      </c>
      <c r="J19" s="74">
        <f t="shared" si="3"/>
        <v>50.263157894736842</v>
      </c>
      <c r="K19" s="74">
        <f>AVERAGE(J19:J20)</f>
        <v>41.347795163584635</v>
      </c>
    </row>
    <row r="20" spans="1:11">
      <c r="B20" s="4">
        <v>6</v>
      </c>
      <c r="C20" s="4">
        <v>600</v>
      </c>
      <c r="D20" s="4">
        <v>600</v>
      </c>
      <c r="E20" s="4">
        <f t="shared" si="0"/>
        <v>1200</v>
      </c>
      <c r="F20" s="4">
        <v>0</v>
      </c>
      <c r="G20" s="4">
        <f t="shared" si="1"/>
        <v>1200</v>
      </c>
      <c r="H20" s="5">
        <f t="shared" si="2"/>
        <v>0</v>
      </c>
      <c r="I20" s="4">
        <v>37</v>
      </c>
      <c r="J20" s="74">
        <f t="shared" si="3"/>
        <v>32.432432432432435</v>
      </c>
      <c r="K20" s="73"/>
    </row>
    <row r="21" spans="1:11">
      <c r="A21" s="2">
        <v>45812</v>
      </c>
      <c r="B21" s="4">
        <v>1</v>
      </c>
      <c r="C21" s="4">
        <v>600</v>
      </c>
      <c r="D21" s="4">
        <v>600</v>
      </c>
      <c r="E21" s="4">
        <f t="shared" si="0"/>
        <v>1200</v>
      </c>
      <c r="F21" s="4">
        <v>35</v>
      </c>
      <c r="G21" s="4">
        <f t="shared" si="1"/>
        <v>1165</v>
      </c>
      <c r="H21" s="5">
        <f t="shared" si="2"/>
        <v>2.9166666666666667E-2</v>
      </c>
      <c r="I21" s="4">
        <v>30</v>
      </c>
      <c r="J21" s="74">
        <f t="shared" si="3"/>
        <v>38.833333333333336</v>
      </c>
      <c r="K21" s="73"/>
    </row>
    <row r="22" spans="1:11">
      <c r="B22" s="15">
        <v>2</v>
      </c>
      <c r="C22" s="4">
        <v>700</v>
      </c>
      <c r="D22" s="4">
        <v>700</v>
      </c>
      <c r="E22" s="4">
        <f t="shared" si="0"/>
        <v>1400</v>
      </c>
      <c r="F22" s="4">
        <v>0</v>
      </c>
      <c r="G22" s="4">
        <f t="shared" si="1"/>
        <v>1400</v>
      </c>
      <c r="H22" s="5">
        <f t="shared" si="2"/>
        <v>0</v>
      </c>
      <c r="I22" s="4">
        <v>28</v>
      </c>
      <c r="J22" s="74">
        <f t="shared" si="3"/>
        <v>50</v>
      </c>
      <c r="K22" s="74">
        <f>AVERAGE(J21:J22)</f>
        <v>44.416666666666671</v>
      </c>
    </row>
    <row r="23" spans="1:11">
      <c r="B23" s="4">
        <v>3</v>
      </c>
      <c r="C23" s="4">
        <v>500</v>
      </c>
      <c r="D23" s="4">
        <v>500</v>
      </c>
      <c r="E23" s="4">
        <f t="shared" si="0"/>
        <v>1000</v>
      </c>
      <c r="F23" s="4">
        <v>40</v>
      </c>
      <c r="G23" s="4">
        <f t="shared" si="1"/>
        <v>960</v>
      </c>
      <c r="H23" s="5">
        <f t="shared" si="2"/>
        <v>0.04</v>
      </c>
      <c r="I23" s="4">
        <v>21</v>
      </c>
      <c r="J23" s="74">
        <f t="shared" si="3"/>
        <v>45.714285714285715</v>
      </c>
      <c r="K23" s="74">
        <f>AVERAGE(J23:J24)</f>
        <v>50.089285714285715</v>
      </c>
    </row>
    <row r="24" spans="1:11">
      <c r="B24" s="15">
        <v>4</v>
      </c>
      <c r="C24" s="4">
        <v>800</v>
      </c>
      <c r="D24" s="4">
        <v>750</v>
      </c>
      <c r="E24" s="4">
        <f t="shared" si="0"/>
        <v>1550</v>
      </c>
      <c r="F24" s="4">
        <v>25</v>
      </c>
      <c r="G24" s="4">
        <f t="shared" si="1"/>
        <v>1525</v>
      </c>
      <c r="H24" s="5">
        <f t="shared" si="2"/>
        <v>1.6129032258064516E-2</v>
      </c>
      <c r="I24" s="4">
        <v>28</v>
      </c>
      <c r="J24" s="74">
        <f t="shared" si="3"/>
        <v>54.464285714285715</v>
      </c>
      <c r="K24" s="74"/>
    </row>
    <row r="25" spans="1:11">
      <c r="B25" s="15">
        <v>5</v>
      </c>
      <c r="C25" s="4">
        <v>475</v>
      </c>
      <c r="D25" s="4">
        <v>470</v>
      </c>
      <c r="E25" s="4">
        <f t="shared" si="0"/>
        <v>945</v>
      </c>
      <c r="F25" s="4">
        <v>0</v>
      </c>
      <c r="G25" s="4">
        <f t="shared" si="1"/>
        <v>945</v>
      </c>
      <c r="H25" s="5">
        <f t="shared" si="2"/>
        <v>0</v>
      </c>
      <c r="I25" s="4">
        <v>19</v>
      </c>
      <c r="J25" s="74">
        <f t="shared" si="3"/>
        <v>49.736842105263158</v>
      </c>
      <c r="K25" s="74">
        <f>AVERAGE(J25:J26)</f>
        <v>39.733285917496445</v>
      </c>
    </row>
    <row r="26" spans="1:11">
      <c r="B26" s="4">
        <v>6</v>
      </c>
      <c r="C26" s="4">
        <v>500</v>
      </c>
      <c r="D26" s="4">
        <v>600</v>
      </c>
      <c r="E26" s="4">
        <f t="shared" si="0"/>
        <v>1100</v>
      </c>
      <c r="F26" s="4">
        <v>0</v>
      </c>
      <c r="G26" s="4">
        <f t="shared" si="1"/>
        <v>1100</v>
      </c>
      <c r="H26" s="5">
        <f t="shared" si="2"/>
        <v>0</v>
      </c>
      <c r="I26" s="4">
        <v>37</v>
      </c>
      <c r="J26" s="74">
        <f t="shared" si="3"/>
        <v>29.72972972972973</v>
      </c>
      <c r="K26" s="73"/>
    </row>
    <row r="27" spans="1:11">
      <c r="A27" s="2">
        <v>45813</v>
      </c>
      <c r="B27" s="4">
        <v>1</v>
      </c>
      <c r="C27" s="4">
        <v>650</v>
      </c>
      <c r="D27" s="4">
        <v>650</v>
      </c>
      <c r="E27" s="4">
        <f t="shared" si="0"/>
        <v>1300</v>
      </c>
      <c r="F27" s="4">
        <v>40</v>
      </c>
      <c r="G27" s="4">
        <f t="shared" si="1"/>
        <v>1260</v>
      </c>
      <c r="H27" s="5">
        <f t="shared" si="2"/>
        <v>3.0769230769230771E-2</v>
      </c>
      <c r="I27" s="4">
        <v>30</v>
      </c>
      <c r="J27" s="74">
        <f t="shared" si="3"/>
        <v>42</v>
      </c>
      <c r="K27" s="73"/>
    </row>
    <row r="28" spans="1:11">
      <c r="B28" s="15">
        <v>2</v>
      </c>
      <c r="C28" s="4">
        <v>750</v>
      </c>
      <c r="D28" s="4">
        <v>750</v>
      </c>
      <c r="E28" s="4">
        <f t="shared" si="0"/>
        <v>1500</v>
      </c>
      <c r="F28" s="4">
        <v>15</v>
      </c>
      <c r="G28" s="4">
        <f t="shared" si="1"/>
        <v>1485</v>
      </c>
      <c r="H28" s="5">
        <f t="shared" si="2"/>
        <v>0.01</v>
      </c>
      <c r="I28" s="4">
        <v>28</v>
      </c>
      <c r="J28" s="74">
        <f t="shared" si="3"/>
        <v>53.035714285714285</v>
      </c>
      <c r="K28" s="74">
        <f>AVERAGE(J27:J28)</f>
        <v>47.517857142857139</v>
      </c>
    </row>
    <row r="29" spans="1:11">
      <c r="B29" s="4">
        <v>3</v>
      </c>
      <c r="C29" s="4">
        <v>550</v>
      </c>
      <c r="D29" s="4">
        <v>550</v>
      </c>
      <c r="E29" s="4">
        <f t="shared" si="0"/>
        <v>1100</v>
      </c>
      <c r="F29" s="4">
        <v>35</v>
      </c>
      <c r="G29" s="4">
        <f t="shared" si="1"/>
        <v>1065</v>
      </c>
      <c r="H29" s="5">
        <f t="shared" si="2"/>
        <v>3.1818181818181815E-2</v>
      </c>
      <c r="I29" s="4">
        <v>21</v>
      </c>
      <c r="J29" s="74">
        <f t="shared" si="3"/>
        <v>50.714285714285715</v>
      </c>
      <c r="K29" s="74">
        <f>AVERAGE(J29:J30)</f>
        <v>54.821428571428569</v>
      </c>
    </row>
    <row r="30" spans="1:11">
      <c r="B30" s="15">
        <v>4</v>
      </c>
      <c r="C30" s="4">
        <v>850</v>
      </c>
      <c r="D30" s="4">
        <v>850</v>
      </c>
      <c r="E30" s="4">
        <f t="shared" si="0"/>
        <v>1700</v>
      </c>
      <c r="F30" s="4">
        <v>50</v>
      </c>
      <c r="G30" s="4">
        <f t="shared" si="1"/>
        <v>1650</v>
      </c>
      <c r="H30" s="5">
        <f t="shared" si="2"/>
        <v>2.9411764705882353E-2</v>
      </c>
      <c r="I30" s="4">
        <v>28</v>
      </c>
      <c r="J30" s="74">
        <f t="shared" si="3"/>
        <v>58.928571428571431</v>
      </c>
      <c r="K30" s="73"/>
    </row>
    <row r="31" spans="1:11">
      <c r="B31" s="15">
        <v>5</v>
      </c>
      <c r="C31" s="4">
        <v>550</v>
      </c>
      <c r="D31" s="4">
        <v>550</v>
      </c>
      <c r="E31" s="4">
        <f t="shared" si="0"/>
        <v>1100</v>
      </c>
      <c r="F31" s="4">
        <v>20</v>
      </c>
      <c r="G31" s="4">
        <f t="shared" si="1"/>
        <v>1080</v>
      </c>
      <c r="H31" s="5">
        <f t="shared" si="2"/>
        <v>1.8181818181818181E-2</v>
      </c>
      <c r="I31" s="4">
        <v>19</v>
      </c>
      <c r="J31" s="74">
        <f t="shared" si="3"/>
        <v>56.842105263157897</v>
      </c>
      <c r="K31" s="74">
        <f>AVERAGE(J31:J32)</f>
        <v>45.177809388335703</v>
      </c>
    </row>
    <row r="32" spans="1:11">
      <c r="B32" s="4">
        <v>6</v>
      </c>
      <c r="C32" s="4">
        <v>650</v>
      </c>
      <c r="D32" s="4">
        <v>650</v>
      </c>
      <c r="E32" s="4">
        <f t="shared" si="0"/>
        <v>1300</v>
      </c>
      <c r="F32" s="4">
        <v>60</v>
      </c>
      <c r="G32" s="4">
        <f t="shared" si="1"/>
        <v>1240</v>
      </c>
      <c r="H32" s="5">
        <f t="shared" si="2"/>
        <v>4.6153846153846156E-2</v>
      </c>
      <c r="I32" s="4">
        <v>37</v>
      </c>
      <c r="J32" s="74">
        <f t="shared" si="3"/>
        <v>33.513513513513516</v>
      </c>
      <c r="K32" s="73"/>
    </row>
    <row r="33" spans="1:11">
      <c r="A33" s="2">
        <v>45814</v>
      </c>
      <c r="B33" s="4">
        <v>1</v>
      </c>
      <c r="C33" s="4">
        <v>650</v>
      </c>
      <c r="D33" s="4">
        <v>500</v>
      </c>
      <c r="E33" s="4">
        <f t="shared" si="0"/>
        <v>1150</v>
      </c>
      <c r="F33" s="4">
        <v>45</v>
      </c>
      <c r="G33" s="4">
        <f t="shared" si="1"/>
        <v>1105</v>
      </c>
      <c r="H33" s="5">
        <f t="shared" si="2"/>
        <v>3.9130434782608699E-2</v>
      </c>
      <c r="I33" s="4">
        <v>30</v>
      </c>
      <c r="J33" s="74">
        <f t="shared" si="3"/>
        <v>36.833333333333336</v>
      </c>
      <c r="K33" s="73"/>
    </row>
    <row r="34" spans="1:11">
      <c r="B34" s="15">
        <v>2</v>
      </c>
      <c r="C34" s="4">
        <v>750</v>
      </c>
      <c r="D34" s="4">
        <v>600</v>
      </c>
      <c r="E34" s="4">
        <f t="shared" si="0"/>
        <v>1350</v>
      </c>
      <c r="F34" s="4">
        <v>30</v>
      </c>
      <c r="G34" s="4">
        <f t="shared" si="1"/>
        <v>1320</v>
      </c>
      <c r="H34" s="5">
        <f t="shared" si="2"/>
        <v>2.2222222222222223E-2</v>
      </c>
      <c r="I34" s="4">
        <v>28</v>
      </c>
      <c r="J34" s="74">
        <f t="shared" si="3"/>
        <v>47.142857142857146</v>
      </c>
      <c r="K34" s="74">
        <f>AVERAGE(J33:J34)</f>
        <v>41.988095238095241</v>
      </c>
    </row>
    <row r="35" spans="1:11">
      <c r="B35" s="4">
        <v>3</v>
      </c>
      <c r="C35" s="4">
        <v>550</v>
      </c>
      <c r="D35" s="4">
        <v>400</v>
      </c>
      <c r="E35" s="4">
        <f t="shared" si="0"/>
        <v>950</v>
      </c>
      <c r="F35" s="4">
        <v>50</v>
      </c>
      <c r="G35" s="4">
        <f t="shared" si="1"/>
        <v>900</v>
      </c>
      <c r="H35" s="5">
        <f t="shared" si="2"/>
        <v>5.2631578947368418E-2</v>
      </c>
      <c r="I35" s="4">
        <v>21</v>
      </c>
      <c r="J35" s="74">
        <f t="shared" si="3"/>
        <v>42.857142857142854</v>
      </c>
      <c r="K35" s="74">
        <f>AVERAGE(J35:J36)</f>
        <v>48.660714285714285</v>
      </c>
    </row>
    <row r="36" spans="1:11">
      <c r="B36" s="15">
        <v>4</v>
      </c>
      <c r="C36" s="4">
        <v>850</v>
      </c>
      <c r="D36" s="4">
        <v>700</v>
      </c>
      <c r="E36" s="4">
        <f t="shared" si="0"/>
        <v>1550</v>
      </c>
      <c r="F36" s="4">
        <v>25</v>
      </c>
      <c r="G36" s="4">
        <f t="shared" si="1"/>
        <v>1525</v>
      </c>
      <c r="H36" s="5">
        <f t="shared" si="2"/>
        <v>1.6129032258064516E-2</v>
      </c>
      <c r="I36" s="4">
        <v>28</v>
      </c>
      <c r="J36" s="74">
        <f t="shared" si="3"/>
        <v>54.464285714285715</v>
      </c>
      <c r="K36" s="73"/>
    </row>
    <row r="37" spans="1:11">
      <c r="B37" s="15">
        <v>5</v>
      </c>
      <c r="C37" s="4">
        <v>550</v>
      </c>
      <c r="D37" s="4">
        <v>450</v>
      </c>
      <c r="E37" s="4">
        <f t="shared" si="0"/>
        <v>1000</v>
      </c>
      <c r="F37" s="4">
        <v>30</v>
      </c>
      <c r="G37" s="4">
        <f t="shared" si="1"/>
        <v>970</v>
      </c>
      <c r="H37" s="5">
        <f t="shared" si="2"/>
        <v>0.03</v>
      </c>
      <c r="I37" s="4">
        <v>19</v>
      </c>
      <c r="J37" s="74">
        <f t="shared" si="3"/>
        <v>51.05263157894737</v>
      </c>
      <c r="K37" s="74">
        <f>AVERAGE(J37:J38)</f>
        <v>41.539829302987201</v>
      </c>
    </row>
    <row r="38" spans="1:11">
      <c r="B38" s="4">
        <v>6</v>
      </c>
      <c r="C38" s="4">
        <v>650</v>
      </c>
      <c r="D38" s="4">
        <v>600</v>
      </c>
      <c r="E38" s="4">
        <f t="shared" si="0"/>
        <v>1250</v>
      </c>
      <c r="F38" s="4">
        <v>65</v>
      </c>
      <c r="G38" s="4">
        <f t="shared" si="1"/>
        <v>1185</v>
      </c>
      <c r="H38" s="5">
        <f t="shared" si="2"/>
        <v>5.1999999999999998E-2</v>
      </c>
      <c r="I38" s="4">
        <v>37</v>
      </c>
      <c r="J38" s="74">
        <f t="shared" si="3"/>
        <v>32.027027027027025</v>
      </c>
      <c r="K38" s="73"/>
    </row>
    <row r="39" spans="1:11">
      <c r="A39" s="14" t="s">
        <v>23</v>
      </c>
      <c r="B39" s="4">
        <v>1</v>
      </c>
      <c r="C39" s="4">
        <v>650</v>
      </c>
      <c r="D39" s="4">
        <v>650</v>
      </c>
      <c r="E39" s="4">
        <f t="shared" si="0"/>
        <v>1300</v>
      </c>
      <c r="F39" s="4">
        <v>75</v>
      </c>
      <c r="G39" s="4">
        <f t="shared" si="1"/>
        <v>1225</v>
      </c>
      <c r="H39" s="5">
        <f t="shared" si="2"/>
        <v>5.7692307692307696E-2</v>
      </c>
      <c r="I39" s="4">
        <v>30</v>
      </c>
      <c r="J39" s="74">
        <f t="shared" si="3"/>
        <v>40.833333333333336</v>
      </c>
      <c r="K39" s="73"/>
    </row>
    <row r="40" spans="1:11">
      <c r="B40" s="15">
        <v>2</v>
      </c>
      <c r="C40" s="4">
        <v>750</v>
      </c>
      <c r="D40" s="4">
        <v>750</v>
      </c>
      <c r="E40" s="4">
        <f t="shared" si="0"/>
        <v>1500</v>
      </c>
      <c r="F40" s="4">
        <v>50</v>
      </c>
      <c r="G40" s="4">
        <f t="shared" si="1"/>
        <v>1450</v>
      </c>
      <c r="H40" s="5">
        <f t="shared" si="2"/>
        <v>3.3333333333333333E-2</v>
      </c>
      <c r="I40" s="4">
        <v>28</v>
      </c>
      <c r="J40" s="74">
        <f t="shared" si="3"/>
        <v>51.785714285714285</v>
      </c>
      <c r="K40" s="74">
        <f>AVERAGE(J39:J40)</f>
        <v>46.30952380952381</v>
      </c>
    </row>
    <row r="41" spans="1:11">
      <c r="B41" s="4">
        <v>3</v>
      </c>
      <c r="C41" s="4">
        <v>550</v>
      </c>
      <c r="D41" s="4">
        <v>550</v>
      </c>
      <c r="E41" s="4">
        <f t="shared" si="0"/>
        <v>1100</v>
      </c>
      <c r="F41" s="4">
        <v>45</v>
      </c>
      <c r="G41" s="4">
        <f t="shared" si="1"/>
        <v>1055</v>
      </c>
      <c r="H41" s="5">
        <f t="shared" si="2"/>
        <v>4.0909090909090909E-2</v>
      </c>
      <c r="I41" s="4">
        <v>21</v>
      </c>
      <c r="J41" s="74">
        <f t="shared" si="3"/>
        <v>50.238095238095241</v>
      </c>
      <c r="K41" s="74">
        <f>AVERAGE(J41:J42)</f>
        <v>54.047619047619051</v>
      </c>
    </row>
    <row r="42" spans="1:11">
      <c r="B42" s="15">
        <v>4</v>
      </c>
      <c r="C42" s="4">
        <v>850</v>
      </c>
      <c r="D42" s="4">
        <v>850</v>
      </c>
      <c r="E42" s="4">
        <f t="shared" si="0"/>
        <v>1700</v>
      </c>
      <c r="F42" s="4">
        <v>80</v>
      </c>
      <c r="G42" s="4">
        <f t="shared" si="1"/>
        <v>1620</v>
      </c>
      <c r="H42" s="5">
        <f t="shared" si="2"/>
        <v>4.7058823529411764E-2</v>
      </c>
      <c r="I42" s="4">
        <v>28</v>
      </c>
      <c r="J42" s="74">
        <f t="shared" si="3"/>
        <v>57.857142857142854</v>
      </c>
      <c r="K42" s="73"/>
    </row>
    <row r="43" spans="1:11">
      <c r="B43" s="15">
        <v>5</v>
      </c>
      <c r="C43" s="4">
        <v>550</v>
      </c>
      <c r="D43" s="4">
        <v>550</v>
      </c>
      <c r="E43" s="4">
        <f t="shared" si="0"/>
        <v>1100</v>
      </c>
      <c r="F43" s="4">
        <v>110</v>
      </c>
      <c r="G43" s="4">
        <f t="shared" si="1"/>
        <v>990</v>
      </c>
      <c r="H43" s="5">
        <f t="shared" si="2"/>
        <v>0.1</v>
      </c>
      <c r="I43" s="4">
        <v>19</v>
      </c>
      <c r="J43" s="74">
        <f t="shared" si="3"/>
        <v>52.10526315789474</v>
      </c>
      <c r="K43" s="74">
        <f>AVERAGE(J43:J44)</f>
        <v>42.606685633001419</v>
      </c>
    </row>
    <row r="44" spans="1:11">
      <c r="B44" s="4">
        <v>6</v>
      </c>
      <c r="C44" s="4">
        <v>650</v>
      </c>
      <c r="D44" s="4">
        <v>650</v>
      </c>
      <c r="E44" s="4">
        <f t="shared" si="0"/>
        <v>1300</v>
      </c>
      <c r="F44" s="4">
        <v>75</v>
      </c>
      <c r="G44" s="4">
        <f t="shared" si="1"/>
        <v>1225</v>
      </c>
      <c r="H44" s="5">
        <f t="shared" si="2"/>
        <v>5.7692307692307696E-2</v>
      </c>
      <c r="I44" s="4">
        <v>37</v>
      </c>
      <c r="J44" s="74">
        <f t="shared" si="3"/>
        <v>33.108108108108105</v>
      </c>
      <c r="K44" s="73"/>
    </row>
    <row r="45" spans="1:11">
      <c r="A45" s="2">
        <v>45816</v>
      </c>
      <c r="B45" s="4">
        <v>1</v>
      </c>
      <c r="C45" s="4">
        <v>650</v>
      </c>
      <c r="D45" s="4">
        <v>600</v>
      </c>
      <c r="E45" s="4">
        <f t="shared" si="0"/>
        <v>1250</v>
      </c>
      <c r="F45" s="4">
        <v>35</v>
      </c>
      <c r="G45" s="4">
        <f t="shared" si="1"/>
        <v>1215</v>
      </c>
      <c r="H45" s="5">
        <f t="shared" si="2"/>
        <v>2.8000000000000001E-2</v>
      </c>
      <c r="I45" s="4">
        <v>30</v>
      </c>
      <c r="J45" s="73">
        <f t="shared" si="3"/>
        <v>40.5</v>
      </c>
      <c r="K45" s="73"/>
    </row>
    <row r="46" spans="1:11">
      <c r="B46" s="15">
        <v>2</v>
      </c>
      <c r="C46" s="4">
        <v>700</v>
      </c>
      <c r="D46" s="4">
        <v>650</v>
      </c>
      <c r="E46" s="4">
        <f t="shared" si="0"/>
        <v>1350</v>
      </c>
      <c r="F46" s="4">
        <v>50</v>
      </c>
      <c r="G46" s="4">
        <f t="shared" si="1"/>
        <v>1300</v>
      </c>
      <c r="H46" s="5">
        <f t="shared" si="2"/>
        <v>3.7037037037037035E-2</v>
      </c>
      <c r="I46" s="4">
        <v>28</v>
      </c>
      <c r="J46" s="74">
        <f t="shared" si="3"/>
        <v>46.428571428571431</v>
      </c>
      <c r="K46" s="73">
        <f>AVERAGE(J45:J46)</f>
        <v>43.464285714285715</v>
      </c>
    </row>
    <row r="47" spans="1:11">
      <c r="B47" s="4">
        <v>3</v>
      </c>
      <c r="C47" s="4">
        <v>500</v>
      </c>
      <c r="D47" s="4">
        <v>500</v>
      </c>
      <c r="E47" s="4">
        <f t="shared" si="0"/>
        <v>1000</v>
      </c>
      <c r="F47" s="4">
        <v>30</v>
      </c>
      <c r="G47" s="4">
        <f t="shared" si="1"/>
        <v>970</v>
      </c>
      <c r="H47" s="5">
        <f t="shared" si="2"/>
        <v>0.03</v>
      </c>
      <c r="I47" s="4">
        <v>21</v>
      </c>
      <c r="J47" s="74">
        <f t="shared" si="3"/>
        <v>46.19047619047619</v>
      </c>
      <c r="K47" s="74">
        <f>AVERAGE(J47:J48)</f>
        <v>49.970238095238095</v>
      </c>
    </row>
    <row r="48" spans="1:11">
      <c r="B48" s="15">
        <v>4</v>
      </c>
      <c r="C48" s="4">
        <v>800</v>
      </c>
      <c r="D48" s="4">
        <v>750</v>
      </c>
      <c r="E48" s="4">
        <f t="shared" si="0"/>
        <v>1550</v>
      </c>
      <c r="F48" s="4">
        <v>45</v>
      </c>
      <c r="G48" s="4">
        <f t="shared" si="1"/>
        <v>1505</v>
      </c>
      <c r="H48" s="5">
        <f t="shared" si="2"/>
        <v>2.903225806451613E-2</v>
      </c>
      <c r="I48" s="4">
        <v>28</v>
      </c>
      <c r="J48" s="74">
        <f t="shared" si="3"/>
        <v>53.75</v>
      </c>
      <c r="K48" s="73"/>
    </row>
    <row r="49" spans="1:11">
      <c r="B49" s="15">
        <v>5</v>
      </c>
      <c r="C49" s="4">
        <v>550</v>
      </c>
      <c r="D49" s="4">
        <v>450</v>
      </c>
      <c r="E49" s="4">
        <f t="shared" si="0"/>
        <v>1000</v>
      </c>
      <c r="F49" s="4">
        <v>20</v>
      </c>
      <c r="G49" s="4">
        <f t="shared" si="1"/>
        <v>980</v>
      </c>
      <c r="H49" s="5">
        <f t="shared" si="2"/>
        <v>0.02</v>
      </c>
      <c r="I49" s="4">
        <v>19</v>
      </c>
      <c r="J49" s="74">
        <f t="shared" si="3"/>
        <v>51.578947368421055</v>
      </c>
      <c r="K49" s="74">
        <f>AVERAGE(J49:J50)</f>
        <v>43.154338549075391</v>
      </c>
    </row>
    <row r="50" spans="1:11">
      <c r="B50" s="4">
        <v>6</v>
      </c>
      <c r="C50" s="4">
        <v>650</v>
      </c>
      <c r="D50" s="4">
        <v>650</v>
      </c>
      <c r="E50" s="4">
        <f t="shared" si="0"/>
        <v>1300</v>
      </c>
      <c r="F50" s="4">
        <v>15</v>
      </c>
      <c r="G50" s="4">
        <f t="shared" si="1"/>
        <v>1285</v>
      </c>
      <c r="H50" s="5">
        <f t="shared" si="2"/>
        <v>1.1538461538461539E-2</v>
      </c>
      <c r="I50" s="4">
        <v>37</v>
      </c>
      <c r="J50" s="74">
        <f t="shared" si="3"/>
        <v>34.729729729729726</v>
      </c>
      <c r="K50" s="73"/>
    </row>
    <row r="51" spans="1:11">
      <c r="A51" s="2">
        <v>45817</v>
      </c>
      <c r="B51" s="4">
        <v>1</v>
      </c>
      <c r="C51" s="4">
        <v>650</v>
      </c>
      <c r="D51" s="4">
        <v>650</v>
      </c>
      <c r="E51" s="4">
        <f t="shared" si="0"/>
        <v>1300</v>
      </c>
      <c r="F51" s="4">
        <v>20</v>
      </c>
      <c r="G51" s="4">
        <f t="shared" si="1"/>
        <v>1280</v>
      </c>
      <c r="H51" s="5">
        <f t="shared" si="2"/>
        <v>1.5384615384615385E-2</v>
      </c>
      <c r="I51" s="4">
        <v>30</v>
      </c>
      <c r="J51" s="74">
        <f t="shared" si="3"/>
        <v>42.666666666666664</v>
      </c>
      <c r="K51" s="73"/>
    </row>
    <row r="52" spans="1:11">
      <c r="B52" s="15">
        <v>2</v>
      </c>
      <c r="C52" s="4">
        <v>700</v>
      </c>
      <c r="D52" s="4">
        <v>700</v>
      </c>
      <c r="E52" s="4">
        <f t="shared" si="0"/>
        <v>1400</v>
      </c>
      <c r="F52" s="4">
        <v>15</v>
      </c>
      <c r="G52" s="4">
        <f t="shared" si="1"/>
        <v>1385</v>
      </c>
      <c r="H52" s="5">
        <f t="shared" si="2"/>
        <v>1.0714285714285714E-2</v>
      </c>
      <c r="I52" s="4">
        <v>28</v>
      </c>
      <c r="J52" s="74">
        <f t="shared" si="3"/>
        <v>49.464285714285715</v>
      </c>
      <c r="K52" s="74">
        <f>AVERAGE(J51:J52)</f>
        <v>46.06547619047619</v>
      </c>
    </row>
    <row r="53" spans="1:11">
      <c r="B53" s="4">
        <v>3</v>
      </c>
      <c r="C53" s="4">
        <v>500</v>
      </c>
      <c r="D53" s="4">
        <v>500</v>
      </c>
      <c r="E53" s="4">
        <f t="shared" si="0"/>
        <v>1000</v>
      </c>
      <c r="F53" s="4">
        <v>45</v>
      </c>
      <c r="G53" s="4">
        <f t="shared" si="1"/>
        <v>955</v>
      </c>
      <c r="H53" s="5">
        <f t="shared" si="2"/>
        <v>4.4999999999999998E-2</v>
      </c>
      <c r="I53" s="4">
        <v>21</v>
      </c>
      <c r="J53" s="74">
        <f t="shared" si="3"/>
        <v>45.476190476190474</v>
      </c>
      <c r="K53" s="74">
        <f>AVERAGE(J53:J54)</f>
        <v>50.773809523809518</v>
      </c>
    </row>
    <row r="54" spans="1:11">
      <c r="B54" s="15">
        <v>4</v>
      </c>
      <c r="C54" s="4">
        <v>800</v>
      </c>
      <c r="D54" s="4">
        <v>800</v>
      </c>
      <c r="E54" s="4">
        <f t="shared" si="0"/>
        <v>1600</v>
      </c>
      <c r="F54" s="4">
        <v>30</v>
      </c>
      <c r="G54" s="4">
        <f t="shared" si="1"/>
        <v>1570</v>
      </c>
      <c r="H54" s="5">
        <f t="shared" si="2"/>
        <v>1.8749999999999999E-2</v>
      </c>
      <c r="I54" s="4">
        <v>28</v>
      </c>
      <c r="J54" s="74">
        <f t="shared" si="3"/>
        <v>56.071428571428569</v>
      </c>
      <c r="K54" s="73"/>
    </row>
    <row r="55" spans="1:11">
      <c r="B55" s="15">
        <v>5</v>
      </c>
      <c r="C55" s="4">
        <v>550</v>
      </c>
      <c r="D55" s="4">
        <v>550</v>
      </c>
      <c r="E55" s="4">
        <f t="shared" si="0"/>
        <v>1100</v>
      </c>
      <c r="F55" s="4">
        <v>30</v>
      </c>
      <c r="G55" s="4">
        <f t="shared" si="1"/>
        <v>1070</v>
      </c>
      <c r="H55" s="5">
        <f t="shared" si="2"/>
        <v>2.7272727272727271E-2</v>
      </c>
      <c r="I55" s="4">
        <v>19</v>
      </c>
      <c r="J55" s="74">
        <f t="shared" si="3"/>
        <v>56.315789473684212</v>
      </c>
      <c r="K55" s="74">
        <f>AVERAGE(J55:J56)</f>
        <v>45.590327169274538</v>
      </c>
    </row>
    <row r="56" spans="1:11">
      <c r="B56" s="4">
        <v>6</v>
      </c>
      <c r="C56" s="4">
        <v>650</v>
      </c>
      <c r="D56" s="4">
        <v>650</v>
      </c>
      <c r="E56" s="4">
        <f t="shared" si="0"/>
        <v>1300</v>
      </c>
      <c r="F56" s="4">
        <v>10</v>
      </c>
      <c r="G56" s="4">
        <f t="shared" si="1"/>
        <v>1290</v>
      </c>
      <c r="H56" s="5">
        <f t="shared" si="2"/>
        <v>7.6923076923076927E-3</v>
      </c>
      <c r="I56" s="4">
        <v>37</v>
      </c>
      <c r="J56" s="74">
        <f t="shared" si="3"/>
        <v>34.864864864864863</v>
      </c>
      <c r="K56" s="73"/>
    </row>
    <row r="57" spans="1:11">
      <c r="A57" s="2">
        <v>45818</v>
      </c>
      <c r="B57" s="4">
        <v>1</v>
      </c>
      <c r="C57" s="4">
        <v>650</v>
      </c>
      <c r="D57" s="4">
        <v>650</v>
      </c>
      <c r="E57" s="4">
        <f t="shared" si="0"/>
        <v>1300</v>
      </c>
      <c r="F57" s="4">
        <v>0</v>
      </c>
      <c r="G57" s="4">
        <f t="shared" si="1"/>
        <v>1300</v>
      </c>
      <c r="H57" s="5">
        <f t="shared" si="2"/>
        <v>0</v>
      </c>
      <c r="I57" s="4">
        <v>30</v>
      </c>
      <c r="J57" s="74">
        <f t="shared" si="3"/>
        <v>43.333333333333336</v>
      </c>
      <c r="K57" s="73"/>
    </row>
    <row r="58" spans="1:11">
      <c r="B58" s="15">
        <v>2</v>
      </c>
      <c r="C58" s="4">
        <v>700</v>
      </c>
      <c r="D58" s="4">
        <v>700</v>
      </c>
      <c r="E58" s="4">
        <f t="shared" si="0"/>
        <v>1400</v>
      </c>
      <c r="F58" s="4">
        <v>25</v>
      </c>
      <c r="G58" s="4">
        <f t="shared" si="1"/>
        <v>1375</v>
      </c>
      <c r="H58" s="5">
        <f t="shared" si="2"/>
        <v>1.7857142857142856E-2</v>
      </c>
      <c r="I58" s="4">
        <v>28</v>
      </c>
      <c r="J58" s="74">
        <f t="shared" si="3"/>
        <v>49.107142857142854</v>
      </c>
      <c r="K58" s="74">
        <f>AVERAGE(J57:J58)</f>
        <v>46.220238095238095</v>
      </c>
    </row>
    <row r="59" spans="1:11">
      <c r="B59" s="4">
        <v>3</v>
      </c>
      <c r="C59" s="4">
        <v>500</v>
      </c>
      <c r="D59" s="4">
        <v>500</v>
      </c>
      <c r="E59" s="4">
        <f t="shared" si="0"/>
        <v>1000</v>
      </c>
      <c r="F59" s="4">
        <v>50</v>
      </c>
      <c r="G59" s="4">
        <f t="shared" si="1"/>
        <v>950</v>
      </c>
      <c r="H59" s="5">
        <f t="shared" si="2"/>
        <v>0.05</v>
      </c>
      <c r="I59" s="4">
        <v>21</v>
      </c>
      <c r="J59" s="74">
        <f t="shared" si="3"/>
        <v>45.238095238095241</v>
      </c>
      <c r="K59" s="74">
        <f>AVERAGE(J59:J60)</f>
        <v>50.029761904761905</v>
      </c>
    </row>
    <row r="60" spans="1:11">
      <c r="B60" s="15">
        <v>4</v>
      </c>
      <c r="C60" s="4">
        <v>800</v>
      </c>
      <c r="D60" s="4">
        <v>800</v>
      </c>
      <c r="E60" s="4">
        <f t="shared" si="0"/>
        <v>1600</v>
      </c>
      <c r="F60" s="4">
        <v>65</v>
      </c>
      <c r="G60" s="4">
        <f t="shared" si="1"/>
        <v>1535</v>
      </c>
      <c r="H60" s="5">
        <f t="shared" si="2"/>
        <v>4.0625000000000001E-2</v>
      </c>
      <c r="I60" s="4">
        <v>28</v>
      </c>
      <c r="J60" s="74">
        <f t="shared" si="3"/>
        <v>54.821428571428569</v>
      </c>
      <c r="K60" s="73"/>
    </row>
    <row r="61" spans="1:11">
      <c r="B61" s="15">
        <v>5</v>
      </c>
      <c r="C61" s="4">
        <v>550</v>
      </c>
      <c r="D61" s="4">
        <v>550</v>
      </c>
      <c r="E61" s="4">
        <f t="shared" si="0"/>
        <v>1100</v>
      </c>
      <c r="F61" s="4">
        <v>30</v>
      </c>
      <c r="G61" s="4">
        <f t="shared" si="1"/>
        <v>1070</v>
      </c>
      <c r="H61" s="5">
        <f t="shared" si="2"/>
        <v>2.7272727272727271E-2</v>
      </c>
      <c r="I61" s="4">
        <v>19</v>
      </c>
      <c r="J61" s="74">
        <f t="shared" si="3"/>
        <v>56.315789473684212</v>
      </c>
      <c r="K61" s="74">
        <f>AVERAGE(J61:J62)</f>
        <v>45.117354196301562</v>
      </c>
    </row>
    <row r="62" spans="1:11">
      <c r="B62" s="4">
        <v>6</v>
      </c>
      <c r="C62" s="4">
        <v>650</v>
      </c>
      <c r="D62" s="4">
        <v>650</v>
      </c>
      <c r="E62" s="4">
        <f t="shared" si="0"/>
        <v>1300</v>
      </c>
      <c r="F62" s="4">
        <v>45</v>
      </c>
      <c r="G62" s="4">
        <f t="shared" si="1"/>
        <v>1255</v>
      </c>
      <c r="H62" s="5">
        <f t="shared" si="2"/>
        <v>3.4615384615384617E-2</v>
      </c>
      <c r="I62" s="4">
        <v>37</v>
      </c>
      <c r="J62" s="74">
        <f t="shared" si="3"/>
        <v>33.918918918918919</v>
      </c>
      <c r="K62" s="73"/>
    </row>
    <row r="63" spans="1:11">
      <c r="A63" s="2">
        <v>45819</v>
      </c>
      <c r="B63" s="4">
        <v>1</v>
      </c>
      <c r="C63" s="4">
        <v>650</v>
      </c>
      <c r="D63" s="4">
        <v>650</v>
      </c>
      <c r="E63" s="4">
        <f t="shared" si="0"/>
        <v>1300</v>
      </c>
      <c r="F63" s="4">
        <v>15</v>
      </c>
      <c r="G63" s="4">
        <f t="shared" si="1"/>
        <v>1285</v>
      </c>
      <c r="H63" s="5">
        <f t="shared" si="2"/>
        <v>1.1538461538461539E-2</v>
      </c>
      <c r="I63" s="4">
        <v>30</v>
      </c>
      <c r="J63" s="74">
        <f t="shared" si="3"/>
        <v>42.833333333333336</v>
      </c>
      <c r="K63" s="73"/>
    </row>
    <row r="64" spans="1:11">
      <c r="B64" s="15">
        <v>2</v>
      </c>
      <c r="C64" s="4">
        <v>700</v>
      </c>
      <c r="D64" s="4">
        <v>700</v>
      </c>
      <c r="E64" s="4">
        <f t="shared" si="0"/>
        <v>1400</v>
      </c>
      <c r="F64" s="4">
        <v>30</v>
      </c>
      <c r="G64" s="4">
        <f t="shared" si="1"/>
        <v>1370</v>
      </c>
      <c r="H64" s="5">
        <f t="shared" si="2"/>
        <v>2.1428571428571429E-2</v>
      </c>
      <c r="I64" s="4">
        <v>28</v>
      </c>
      <c r="J64" s="74">
        <f t="shared" si="3"/>
        <v>48.928571428571431</v>
      </c>
      <c r="K64" s="74">
        <f>AVERAGE(J63:J64)</f>
        <v>45.88095238095238</v>
      </c>
    </row>
    <row r="65" spans="1:11">
      <c r="B65" s="4">
        <v>3</v>
      </c>
      <c r="C65" s="4">
        <v>500</v>
      </c>
      <c r="D65" s="4">
        <v>500</v>
      </c>
      <c r="E65" s="4">
        <f t="shared" si="0"/>
        <v>1000</v>
      </c>
      <c r="F65" s="4">
        <v>110</v>
      </c>
      <c r="G65" s="4">
        <f t="shared" si="1"/>
        <v>890</v>
      </c>
      <c r="H65" s="5">
        <f t="shared" si="2"/>
        <v>0.11</v>
      </c>
      <c r="I65" s="4">
        <v>21</v>
      </c>
      <c r="J65" s="74">
        <f t="shared" si="3"/>
        <v>42.38095238095238</v>
      </c>
      <c r="K65" s="74">
        <f>AVERAGE(J65:J66)</f>
        <v>49.31547619047619</v>
      </c>
    </row>
    <row r="66" spans="1:11">
      <c r="B66" s="15">
        <v>4</v>
      </c>
      <c r="C66" s="4">
        <v>800</v>
      </c>
      <c r="D66" s="4">
        <v>800</v>
      </c>
      <c r="E66" s="4">
        <f t="shared" si="0"/>
        <v>1600</v>
      </c>
      <c r="F66" s="4">
        <v>25</v>
      </c>
      <c r="G66" s="4">
        <f t="shared" si="1"/>
        <v>1575</v>
      </c>
      <c r="H66" s="5">
        <f t="shared" si="2"/>
        <v>1.5625E-2</v>
      </c>
      <c r="I66" s="4">
        <v>28</v>
      </c>
      <c r="J66" s="74">
        <f t="shared" si="3"/>
        <v>56.25</v>
      </c>
      <c r="K66" s="73"/>
    </row>
    <row r="67" spans="1:11">
      <c r="B67" s="15">
        <v>5</v>
      </c>
      <c r="C67" s="4">
        <v>500</v>
      </c>
      <c r="D67" s="4">
        <v>500</v>
      </c>
      <c r="E67" s="4">
        <f t="shared" si="0"/>
        <v>1000</v>
      </c>
      <c r="F67" s="4">
        <v>10</v>
      </c>
      <c r="G67" s="4">
        <f t="shared" si="1"/>
        <v>990</v>
      </c>
      <c r="H67" s="5">
        <f t="shared" si="2"/>
        <v>0.01</v>
      </c>
      <c r="I67" s="4">
        <v>19</v>
      </c>
      <c r="J67" s="74">
        <f t="shared" si="3"/>
        <v>52.10526315789474</v>
      </c>
      <c r="K67" s="74">
        <f>AVERAGE(J67:J68)</f>
        <v>42.809388335704128</v>
      </c>
    </row>
    <row r="68" spans="1:11">
      <c r="B68" s="4">
        <v>6</v>
      </c>
      <c r="C68" s="4">
        <v>650</v>
      </c>
      <c r="D68" s="4">
        <v>650</v>
      </c>
      <c r="E68" s="4">
        <f t="shared" si="0"/>
        <v>1300</v>
      </c>
      <c r="F68" s="4">
        <v>60</v>
      </c>
      <c r="G68" s="4">
        <f t="shared" si="1"/>
        <v>1240</v>
      </c>
      <c r="H68" s="5">
        <f t="shared" si="2"/>
        <v>4.6153846153846156E-2</v>
      </c>
      <c r="I68" s="4">
        <v>37</v>
      </c>
      <c r="J68" s="74">
        <f t="shared" ref="J68:J131" si="4">$G68/I68</f>
        <v>33.513513513513516</v>
      </c>
      <c r="K68" s="73"/>
    </row>
    <row r="69" spans="1:11">
      <c r="A69" s="2">
        <v>45820</v>
      </c>
      <c r="B69" s="4">
        <v>1</v>
      </c>
      <c r="C69" s="4">
        <v>650</v>
      </c>
      <c r="D69" s="4">
        <v>650</v>
      </c>
      <c r="E69" s="4">
        <f t="shared" si="0"/>
        <v>1300</v>
      </c>
      <c r="F69" s="4">
        <v>25</v>
      </c>
      <c r="G69" s="4">
        <f t="shared" si="1"/>
        <v>1275</v>
      </c>
      <c r="H69" s="5">
        <f t="shared" si="2"/>
        <v>1.9230769230769232E-2</v>
      </c>
      <c r="I69" s="4">
        <v>30</v>
      </c>
      <c r="J69" s="73">
        <f t="shared" si="4"/>
        <v>42.5</v>
      </c>
      <c r="K69" s="73"/>
    </row>
    <row r="70" spans="1:11">
      <c r="B70" s="15">
        <v>2</v>
      </c>
      <c r="C70" s="4">
        <v>700</v>
      </c>
      <c r="D70" s="4">
        <v>700</v>
      </c>
      <c r="E70" s="4">
        <f t="shared" si="0"/>
        <v>1400</v>
      </c>
      <c r="F70" s="4">
        <v>30</v>
      </c>
      <c r="G70" s="4">
        <f t="shared" si="1"/>
        <v>1370</v>
      </c>
      <c r="H70" s="5">
        <f t="shared" si="2"/>
        <v>2.1428571428571429E-2</v>
      </c>
      <c r="I70" s="4">
        <v>28</v>
      </c>
      <c r="J70" s="74">
        <f t="shared" si="4"/>
        <v>48.928571428571431</v>
      </c>
      <c r="K70" s="73"/>
    </row>
    <row r="71" spans="1:11">
      <c r="B71" s="4">
        <v>3</v>
      </c>
      <c r="C71" s="4">
        <v>500</v>
      </c>
      <c r="D71" s="4">
        <v>500</v>
      </c>
      <c r="E71" s="4">
        <f t="shared" si="0"/>
        <v>1000</v>
      </c>
      <c r="F71" s="4">
        <v>15</v>
      </c>
      <c r="G71" s="4">
        <f t="shared" si="1"/>
        <v>985</v>
      </c>
      <c r="H71" s="5">
        <f t="shared" si="2"/>
        <v>1.4999999999999999E-2</v>
      </c>
      <c r="I71" s="4">
        <v>21</v>
      </c>
      <c r="J71" s="74">
        <f t="shared" si="4"/>
        <v>46.904761904761905</v>
      </c>
      <c r="K71" s="73"/>
    </row>
    <row r="72" spans="1:11">
      <c r="B72" s="15">
        <v>4</v>
      </c>
      <c r="C72" s="4">
        <v>650</v>
      </c>
      <c r="D72" s="4">
        <v>800</v>
      </c>
      <c r="E72" s="4">
        <f t="shared" si="0"/>
        <v>1450</v>
      </c>
      <c r="F72" s="4">
        <v>70</v>
      </c>
      <c r="G72" s="4">
        <f t="shared" si="1"/>
        <v>1380</v>
      </c>
      <c r="H72" s="5">
        <f t="shared" si="2"/>
        <v>4.8275862068965517E-2</v>
      </c>
      <c r="I72" s="4">
        <v>28</v>
      </c>
      <c r="J72" s="74">
        <f t="shared" si="4"/>
        <v>49.285714285714285</v>
      </c>
      <c r="K72" s="73"/>
    </row>
    <row r="73" spans="1:11">
      <c r="B73" s="15">
        <v>5</v>
      </c>
      <c r="C73" s="4">
        <v>500</v>
      </c>
      <c r="D73" s="4">
        <v>500</v>
      </c>
      <c r="E73" s="4">
        <f t="shared" si="0"/>
        <v>1000</v>
      </c>
      <c r="F73" s="4">
        <v>40</v>
      </c>
      <c r="G73" s="4">
        <f t="shared" si="1"/>
        <v>960</v>
      </c>
      <c r="H73" s="5">
        <f t="shared" si="2"/>
        <v>0.04</v>
      </c>
      <c r="I73" s="4">
        <v>19</v>
      </c>
      <c r="J73" s="74">
        <f t="shared" si="4"/>
        <v>50.526315789473685</v>
      </c>
      <c r="K73" s="73"/>
    </row>
    <row r="74" spans="1:11">
      <c r="B74" s="4">
        <v>6</v>
      </c>
      <c r="C74" s="4">
        <v>650</v>
      </c>
      <c r="D74" s="4">
        <v>650</v>
      </c>
      <c r="E74" s="4">
        <f t="shared" si="0"/>
        <v>1300</v>
      </c>
      <c r="F74" s="4">
        <v>65</v>
      </c>
      <c r="G74" s="4">
        <f t="shared" si="1"/>
        <v>1235</v>
      </c>
      <c r="H74" s="5">
        <f t="shared" si="2"/>
        <v>0.05</v>
      </c>
      <c r="I74" s="4">
        <v>37</v>
      </c>
      <c r="J74" s="74">
        <f t="shared" si="4"/>
        <v>33.378378378378379</v>
      </c>
      <c r="K74" s="73"/>
    </row>
    <row r="75" spans="1:11">
      <c r="A75" s="2">
        <v>45821</v>
      </c>
      <c r="B75" s="4">
        <v>1</v>
      </c>
      <c r="C75" s="4">
        <v>650</v>
      </c>
      <c r="D75" s="4">
        <v>650</v>
      </c>
      <c r="E75" s="4">
        <f t="shared" si="0"/>
        <v>1300</v>
      </c>
      <c r="F75" s="4">
        <v>40</v>
      </c>
      <c r="G75" s="4">
        <f t="shared" si="1"/>
        <v>1260</v>
      </c>
      <c r="H75" s="5">
        <f t="shared" si="2"/>
        <v>3.0769230769230771E-2</v>
      </c>
      <c r="I75" s="4">
        <v>30</v>
      </c>
      <c r="J75" s="73">
        <f t="shared" si="4"/>
        <v>42</v>
      </c>
      <c r="K75" s="73"/>
    </row>
    <row r="76" spans="1:11">
      <c r="B76" s="15">
        <v>2</v>
      </c>
      <c r="C76" s="4">
        <v>700</v>
      </c>
      <c r="D76" s="4">
        <v>700</v>
      </c>
      <c r="E76" s="4">
        <f t="shared" si="0"/>
        <v>1400</v>
      </c>
      <c r="F76" s="4">
        <v>35</v>
      </c>
      <c r="G76" s="4">
        <f t="shared" si="1"/>
        <v>1365</v>
      </c>
      <c r="H76" s="5">
        <f t="shared" si="2"/>
        <v>2.5000000000000001E-2</v>
      </c>
      <c r="I76" s="4">
        <v>28</v>
      </c>
      <c r="J76" s="74">
        <f t="shared" si="4"/>
        <v>48.75</v>
      </c>
      <c r="K76" s="73"/>
    </row>
    <row r="77" spans="1:11">
      <c r="B77" s="4">
        <v>3</v>
      </c>
      <c r="C77" s="4">
        <v>500</v>
      </c>
      <c r="D77" s="4">
        <v>500</v>
      </c>
      <c r="E77" s="4">
        <f t="shared" si="0"/>
        <v>1000</v>
      </c>
      <c r="F77" s="4">
        <v>70</v>
      </c>
      <c r="G77" s="4">
        <f t="shared" si="1"/>
        <v>930</v>
      </c>
      <c r="H77" s="5">
        <f t="shared" si="2"/>
        <v>7.0000000000000007E-2</v>
      </c>
      <c r="I77" s="4">
        <v>21</v>
      </c>
      <c r="J77" s="74">
        <f t="shared" si="4"/>
        <v>44.285714285714285</v>
      </c>
      <c r="K77" s="73"/>
    </row>
    <row r="78" spans="1:11">
      <c r="B78" s="15">
        <v>4</v>
      </c>
      <c r="C78" s="4">
        <v>800</v>
      </c>
      <c r="D78" s="4">
        <v>800</v>
      </c>
      <c r="E78" s="4">
        <f t="shared" si="0"/>
        <v>1600</v>
      </c>
      <c r="F78" s="4">
        <v>55</v>
      </c>
      <c r="G78" s="4">
        <f t="shared" si="1"/>
        <v>1545</v>
      </c>
      <c r="H78" s="5">
        <f t="shared" si="2"/>
        <v>3.4375000000000003E-2</v>
      </c>
      <c r="I78" s="4">
        <v>28</v>
      </c>
      <c r="J78" s="74">
        <f t="shared" si="4"/>
        <v>55.178571428571431</v>
      </c>
      <c r="K78" s="73"/>
    </row>
    <row r="79" spans="1:11">
      <c r="B79" s="15">
        <v>5</v>
      </c>
      <c r="C79" s="4">
        <v>500</v>
      </c>
      <c r="D79" s="4">
        <v>500</v>
      </c>
      <c r="E79" s="4">
        <f t="shared" si="0"/>
        <v>1000</v>
      </c>
      <c r="F79" s="4">
        <v>20</v>
      </c>
      <c r="G79" s="4">
        <f t="shared" si="1"/>
        <v>980</v>
      </c>
      <c r="H79" s="5">
        <f t="shared" si="2"/>
        <v>0.02</v>
      </c>
      <c r="I79" s="4">
        <v>19</v>
      </c>
      <c r="J79" s="74">
        <f t="shared" si="4"/>
        <v>51.578947368421055</v>
      </c>
      <c r="K79" s="73"/>
    </row>
    <row r="80" spans="1:11">
      <c r="B80" s="4">
        <v>6</v>
      </c>
      <c r="C80" s="4">
        <v>650</v>
      </c>
      <c r="D80" s="4">
        <v>650</v>
      </c>
      <c r="E80" s="4">
        <f t="shared" si="0"/>
        <v>1300</v>
      </c>
      <c r="F80" s="4">
        <v>30</v>
      </c>
      <c r="G80" s="4">
        <f t="shared" si="1"/>
        <v>1270</v>
      </c>
      <c r="H80" s="5">
        <f t="shared" si="2"/>
        <v>2.3076923076923078E-2</v>
      </c>
      <c r="I80" s="4">
        <v>37</v>
      </c>
      <c r="J80" s="74">
        <f t="shared" si="4"/>
        <v>34.324324324324323</v>
      </c>
      <c r="K80" s="73"/>
    </row>
    <row r="81" spans="1:11">
      <c r="A81" s="2">
        <v>45822</v>
      </c>
      <c r="B81" s="4">
        <v>1</v>
      </c>
      <c r="C81" s="4">
        <v>650</v>
      </c>
      <c r="D81" s="4">
        <v>650</v>
      </c>
      <c r="E81" s="4">
        <f t="shared" si="0"/>
        <v>1300</v>
      </c>
      <c r="F81" s="4">
        <v>25</v>
      </c>
      <c r="G81" s="4">
        <f t="shared" si="1"/>
        <v>1275</v>
      </c>
      <c r="H81" s="5">
        <f t="shared" si="2"/>
        <v>1.9230769230769232E-2</v>
      </c>
      <c r="I81" s="4">
        <v>30</v>
      </c>
      <c r="J81" s="74">
        <f t="shared" si="4"/>
        <v>42.5</v>
      </c>
      <c r="K81" s="73"/>
    </row>
    <row r="82" spans="1:11">
      <c r="B82" s="15">
        <v>2</v>
      </c>
      <c r="C82" s="4">
        <v>700</v>
      </c>
      <c r="D82" s="4">
        <v>700</v>
      </c>
      <c r="E82" s="4">
        <f t="shared" si="0"/>
        <v>1400</v>
      </c>
      <c r="F82" s="4">
        <v>15</v>
      </c>
      <c r="G82" s="4">
        <f t="shared" si="1"/>
        <v>1385</v>
      </c>
      <c r="H82" s="5">
        <f t="shared" si="2"/>
        <v>1.0714285714285714E-2</v>
      </c>
      <c r="I82" s="4">
        <v>28</v>
      </c>
      <c r="J82" s="74">
        <f t="shared" si="4"/>
        <v>49.464285714285715</v>
      </c>
      <c r="K82" s="73"/>
    </row>
    <row r="83" spans="1:11">
      <c r="B83" s="4">
        <v>3</v>
      </c>
      <c r="C83" s="4">
        <v>500</v>
      </c>
      <c r="D83" s="4">
        <v>500</v>
      </c>
      <c r="E83" s="4">
        <f t="shared" si="0"/>
        <v>1000</v>
      </c>
      <c r="F83" s="4">
        <v>30</v>
      </c>
      <c r="G83" s="4">
        <f t="shared" si="1"/>
        <v>970</v>
      </c>
      <c r="H83" s="5">
        <f t="shared" si="2"/>
        <v>0.03</v>
      </c>
      <c r="I83" s="4">
        <v>21</v>
      </c>
      <c r="J83" s="74">
        <f t="shared" si="4"/>
        <v>46.19047619047619</v>
      </c>
      <c r="K83" s="73"/>
    </row>
    <row r="84" spans="1:11">
      <c r="B84" s="15">
        <v>4</v>
      </c>
      <c r="C84" s="4">
        <v>800</v>
      </c>
      <c r="D84" s="4">
        <v>800</v>
      </c>
      <c r="E84" s="4">
        <f t="shared" si="0"/>
        <v>1600</v>
      </c>
      <c r="F84" s="4">
        <v>40</v>
      </c>
      <c r="G84" s="4">
        <f t="shared" si="1"/>
        <v>1560</v>
      </c>
      <c r="H84" s="5">
        <f t="shared" si="2"/>
        <v>2.5000000000000001E-2</v>
      </c>
      <c r="I84" s="4">
        <v>28</v>
      </c>
      <c r="J84" s="74">
        <f t="shared" si="4"/>
        <v>55.714285714285715</v>
      </c>
      <c r="K84" s="73"/>
    </row>
    <row r="85" spans="1:11">
      <c r="B85" s="15">
        <v>5</v>
      </c>
      <c r="C85" s="4">
        <v>500</v>
      </c>
      <c r="D85" s="4">
        <v>500</v>
      </c>
      <c r="E85" s="4">
        <f t="shared" si="0"/>
        <v>1000</v>
      </c>
      <c r="F85" s="4">
        <v>65</v>
      </c>
      <c r="G85" s="4">
        <f t="shared" si="1"/>
        <v>935</v>
      </c>
      <c r="H85" s="5">
        <f t="shared" si="2"/>
        <v>6.5000000000000002E-2</v>
      </c>
      <c r="I85" s="4">
        <v>19</v>
      </c>
      <c r="J85" s="74">
        <f t="shared" si="4"/>
        <v>49.210526315789473</v>
      </c>
      <c r="K85" s="73"/>
    </row>
    <row r="86" spans="1:11">
      <c r="B86" s="4">
        <v>6</v>
      </c>
      <c r="C86" s="4">
        <v>650</v>
      </c>
      <c r="D86" s="4">
        <v>650</v>
      </c>
      <c r="E86" s="4">
        <f t="shared" si="0"/>
        <v>1300</v>
      </c>
      <c r="F86" s="4">
        <v>20</v>
      </c>
      <c r="G86" s="4">
        <f t="shared" si="1"/>
        <v>1280</v>
      </c>
      <c r="H86" s="5">
        <f t="shared" si="2"/>
        <v>1.5384615384615385E-2</v>
      </c>
      <c r="I86" s="4">
        <v>37</v>
      </c>
      <c r="J86" s="74">
        <f t="shared" si="4"/>
        <v>34.594594594594597</v>
      </c>
      <c r="K86" s="73"/>
    </row>
    <row r="87" spans="1:11">
      <c r="A87" s="2">
        <v>45823</v>
      </c>
      <c r="B87" s="4">
        <v>1</v>
      </c>
      <c r="C87" s="4">
        <v>650</v>
      </c>
      <c r="D87" s="4">
        <v>650</v>
      </c>
      <c r="E87" s="4">
        <f t="shared" si="0"/>
        <v>1300</v>
      </c>
      <c r="F87" s="4">
        <v>20</v>
      </c>
      <c r="G87" s="4">
        <f t="shared" si="1"/>
        <v>1280</v>
      </c>
      <c r="H87" s="5">
        <f t="shared" si="2"/>
        <v>1.5384615384615385E-2</v>
      </c>
      <c r="I87" s="4">
        <v>30</v>
      </c>
      <c r="J87" s="74">
        <f t="shared" si="4"/>
        <v>42.666666666666664</v>
      </c>
      <c r="K87" s="73"/>
    </row>
    <row r="88" spans="1:11">
      <c r="B88" s="15">
        <v>2</v>
      </c>
      <c r="C88" s="4">
        <v>700</v>
      </c>
      <c r="D88" s="4">
        <v>700</v>
      </c>
      <c r="E88" s="4">
        <f t="shared" si="0"/>
        <v>1400</v>
      </c>
      <c r="F88" s="4">
        <v>35</v>
      </c>
      <c r="G88" s="4">
        <f t="shared" si="1"/>
        <v>1365</v>
      </c>
      <c r="H88" s="5">
        <f t="shared" si="2"/>
        <v>2.5000000000000001E-2</v>
      </c>
      <c r="I88" s="4">
        <v>28</v>
      </c>
      <c r="J88" s="74">
        <f t="shared" si="4"/>
        <v>48.75</v>
      </c>
      <c r="K88" s="73"/>
    </row>
    <row r="89" spans="1:11">
      <c r="B89" s="4">
        <v>3</v>
      </c>
      <c r="C89" s="4">
        <v>600</v>
      </c>
      <c r="D89" s="4">
        <v>600</v>
      </c>
      <c r="E89" s="4">
        <f t="shared" si="0"/>
        <v>1200</v>
      </c>
      <c r="F89" s="4">
        <v>50</v>
      </c>
      <c r="G89" s="4">
        <f t="shared" si="1"/>
        <v>1150</v>
      </c>
      <c r="H89" s="5">
        <f t="shared" si="2"/>
        <v>4.1666666666666664E-2</v>
      </c>
      <c r="I89" s="4">
        <v>21</v>
      </c>
      <c r="J89" s="74">
        <f t="shared" si="4"/>
        <v>54.761904761904759</v>
      </c>
      <c r="K89" s="73"/>
    </row>
    <row r="90" spans="1:11">
      <c r="B90" s="15">
        <v>4</v>
      </c>
      <c r="C90" s="4">
        <v>800</v>
      </c>
      <c r="D90" s="4">
        <v>800</v>
      </c>
      <c r="E90" s="4">
        <f t="shared" si="0"/>
        <v>1600</v>
      </c>
      <c r="F90" s="4">
        <v>35</v>
      </c>
      <c r="G90" s="4">
        <f t="shared" si="1"/>
        <v>1565</v>
      </c>
      <c r="H90" s="5">
        <f t="shared" si="2"/>
        <v>2.1874999999999999E-2</v>
      </c>
      <c r="I90" s="4">
        <v>28</v>
      </c>
      <c r="J90" s="74">
        <f t="shared" si="4"/>
        <v>55.892857142857146</v>
      </c>
      <c r="K90" s="73"/>
    </row>
    <row r="91" spans="1:11">
      <c r="B91" s="15">
        <v>5</v>
      </c>
      <c r="C91" s="4">
        <v>500</v>
      </c>
      <c r="D91" s="4">
        <v>500</v>
      </c>
      <c r="E91" s="4">
        <f t="shared" si="0"/>
        <v>1000</v>
      </c>
      <c r="F91" s="4">
        <v>40</v>
      </c>
      <c r="G91" s="4">
        <f t="shared" si="1"/>
        <v>960</v>
      </c>
      <c r="H91" s="5">
        <f t="shared" si="2"/>
        <v>0.04</v>
      </c>
      <c r="I91" s="4">
        <v>19</v>
      </c>
      <c r="J91" s="74">
        <f t="shared" si="4"/>
        <v>50.526315789473685</v>
      </c>
      <c r="K91" s="73"/>
    </row>
    <row r="92" spans="1:11">
      <c r="B92" s="4">
        <v>6</v>
      </c>
      <c r="C92" s="4">
        <v>650</v>
      </c>
      <c r="D92" s="4">
        <v>650</v>
      </c>
      <c r="E92" s="4">
        <f t="shared" si="0"/>
        <v>1300</v>
      </c>
      <c r="F92" s="4">
        <v>0</v>
      </c>
      <c r="G92" s="4">
        <f t="shared" si="1"/>
        <v>1300</v>
      </c>
      <c r="H92" s="5">
        <f t="shared" si="2"/>
        <v>0</v>
      </c>
      <c r="I92" s="4">
        <v>37</v>
      </c>
      <c r="J92" s="74">
        <f t="shared" si="4"/>
        <v>35.135135135135137</v>
      </c>
      <c r="K92" s="73"/>
    </row>
    <row r="93" spans="1:11">
      <c r="A93" s="2">
        <v>45824</v>
      </c>
      <c r="B93" s="4">
        <v>1</v>
      </c>
      <c r="C93" s="4">
        <v>650</v>
      </c>
      <c r="D93" s="4">
        <v>650</v>
      </c>
      <c r="E93" s="4">
        <f t="shared" si="0"/>
        <v>1300</v>
      </c>
      <c r="F93" s="4">
        <v>30</v>
      </c>
      <c r="G93" s="4">
        <f t="shared" si="1"/>
        <v>1270</v>
      </c>
      <c r="H93" s="5">
        <f t="shared" si="2"/>
        <v>2.3076923076923078E-2</v>
      </c>
      <c r="I93" s="4">
        <v>25</v>
      </c>
      <c r="J93" s="73">
        <f t="shared" si="4"/>
        <v>50.8</v>
      </c>
      <c r="K93" s="73"/>
    </row>
    <row r="94" spans="1:11">
      <c r="B94" s="15">
        <v>2</v>
      </c>
      <c r="C94" s="4">
        <v>700</v>
      </c>
      <c r="D94" s="4">
        <v>700</v>
      </c>
      <c r="E94" s="4">
        <f t="shared" si="0"/>
        <v>1400</v>
      </c>
      <c r="F94" s="4">
        <v>10</v>
      </c>
      <c r="G94" s="4">
        <f t="shared" si="1"/>
        <v>1390</v>
      </c>
      <c r="H94" s="5">
        <f t="shared" si="2"/>
        <v>7.1428571428571426E-3</v>
      </c>
      <c r="I94" s="4">
        <v>28</v>
      </c>
      <c r="J94" s="74">
        <f t="shared" si="4"/>
        <v>49.642857142857146</v>
      </c>
      <c r="K94" s="73"/>
    </row>
    <row r="95" spans="1:11">
      <c r="B95" s="4">
        <v>3</v>
      </c>
      <c r="C95" s="4">
        <v>500</v>
      </c>
      <c r="D95" s="4">
        <v>500</v>
      </c>
      <c r="E95" s="4">
        <f t="shared" si="0"/>
        <v>1000</v>
      </c>
      <c r="F95" s="4">
        <v>25</v>
      </c>
      <c r="G95" s="4">
        <f t="shared" si="1"/>
        <v>975</v>
      </c>
      <c r="H95" s="5">
        <f t="shared" si="2"/>
        <v>2.5000000000000001E-2</v>
      </c>
      <c r="I95" s="4">
        <v>21</v>
      </c>
      <c r="J95" s="74">
        <f t="shared" si="4"/>
        <v>46.428571428571431</v>
      </c>
      <c r="K95" s="73"/>
    </row>
    <row r="96" spans="1:11">
      <c r="B96" s="15">
        <v>4</v>
      </c>
      <c r="C96" s="4">
        <v>800</v>
      </c>
      <c r="D96" s="4">
        <v>800</v>
      </c>
      <c r="E96" s="4">
        <f t="shared" si="0"/>
        <v>1600</v>
      </c>
      <c r="F96" s="4">
        <v>0</v>
      </c>
      <c r="G96" s="4">
        <f t="shared" si="1"/>
        <v>1600</v>
      </c>
      <c r="H96" s="5">
        <f t="shared" si="2"/>
        <v>0</v>
      </c>
      <c r="I96" s="4">
        <v>29</v>
      </c>
      <c r="J96" s="74">
        <f t="shared" si="4"/>
        <v>55.172413793103445</v>
      </c>
      <c r="K96" s="73"/>
    </row>
    <row r="97" spans="1:11">
      <c r="B97" s="15">
        <v>5</v>
      </c>
      <c r="C97" s="4">
        <v>500</v>
      </c>
      <c r="D97" s="4">
        <v>500</v>
      </c>
      <c r="E97" s="4">
        <f t="shared" si="0"/>
        <v>1000</v>
      </c>
      <c r="F97" s="4">
        <v>150</v>
      </c>
      <c r="G97" s="4">
        <f t="shared" si="1"/>
        <v>850</v>
      </c>
      <c r="H97" s="5">
        <f t="shared" si="2"/>
        <v>0.15</v>
      </c>
      <c r="I97" s="4">
        <v>19</v>
      </c>
      <c r="J97" s="74">
        <f t="shared" si="4"/>
        <v>44.736842105263158</v>
      </c>
      <c r="K97" s="73"/>
    </row>
    <row r="98" spans="1:11">
      <c r="B98" s="4">
        <v>6</v>
      </c>
      <c r="C98" s="4">
        <v>700</v>
      </c>
      <c r="D98" s="4">
        <v>700</v>
      </c>
      <c r="E98" s="4">
        <f t="shared" ref="E98:E161" si="5">$C98+D98</f>
        <v>1400</v>
      </c>
      <c r="F98" s="4">
        <v>80</v>
      </c>
      <c r="G98" s="4">
        <f>$E98-F98</f>
        <v>1320</v>
      </c>
      <c r="H98" s="5">
        <f t="shared" si="2"/>
        <v>5.7142857142857141E-2</v>
      </c>
      <c r="I98" s="4">
        <v>46</v>
      </c>
      <c r="J98" s="74">
        <f t="shared" si="4"/>
        <v>28.695652173913043</v>
      </c>
      <c r="K98" s="73"/>
    </row>
    <row r="99" spans="1:11">
      <c r="A99" s="2">
        <v>45825</v>
      </c>
      <c r="B99" s="4">
        <v>1</v>
      </c>
      <c r="C99" s="4">
        <v>650</v>
      </c>
      <c r="D99" s="4">
        <v>650</v>
      </c>
      <c r="E99" s="4">
        <f t="shared" si="5"/>
        <v>1300</v>
      </c>
      <c r="F99" s="4">
        <v>35</v>
      </c>
      <c r="G99" s="4">
        <f t="shared" ref="G99:G162" si="6">$E99-F99</f>
        <v>1265</v>
      </c>
      <c r="H99" s="5">
        <f t="shared" si="2"/>
        <v>2.6923076923076925E-2</v>
      </c>
      <c r="I99" s="4">
        <v>25</v>
      </c>
      <c r="J99" s="74">
        <f t="shared" si="4"/>
        <v>50.6</v>
      </c>
      <c r="K99" s="73"/>
    </row>
    <row r="100" spans="1:11">
      <c r="B100" s="15">
        <v>2</v>
      </c>
      <c r="C100" s="4">
        <v>700</v>
      </c>
      <c r="D100" s="4">
        <v>700</v>
      </c>
      <c r="E100" s="4">
        <f t="shared" si="5"/>
        <v>1400</v>
      </c>
      <c r="F100" s="4">
        <v>50</v>
      </c>
      <c r="G100" s="4">
        <f t="shared" si="6"/>
        <v>1350</v>
      </c>
      <c r="H100" s="5">
        <f t="shared" ref="H100:H163" si="7">F100/E100</f>
        <v>3.5714285714285712E-2</v>
      </c>
      <c r="I100" s="4">
        <v>28</v>
      </c>
      <c r="J100" s="74">
        <f t="shared" si="4"/>
        <v>48.214285714285715</v>
      </c>
      <c r="K100" s="73"/>
    </row>
    <row r="101" spans="1:11">
      <c r="B101" s="4">
        <v>3</v>
      </c>
      <c r="C101" s="4">
        <v>500</v>
      </c>
      <c r="D101" s="4">
        <v>500</v>
      </c>
      <c r="E101" s="4">
        <f t="shared" si="5"/>
        <v>1000</v>
      </c>
      <c r="F101" s="4">
        <v>15</v>
      </c>
      <c r="G101" s="4">
        <f t="shared" si="6"/>
        <v>985</v>
      </c>
      <c r="H101" s="5">
        <f t="shared" si="7"/>
        <v>1.4999999999999999E-2</v>
      </c>
      <c r="I101" s="4">
        <v>21</v>
      </c>
      <c r="J101" s="74">
        <f t="shared" si="4"/>
        <v>46.904761904761905</v>
      </c>
      <c r="K101" s="73"/>
    </row>
    <row r="102" spans="1:11">
      <c r="B102" s="15">
        <v>4</v>
      </c>
      <c r="C102" s="4">
        <v>800</v>
      </c>
      <c r="D102" s="4">
        <v>750</v>
      </c>
      <c r="E102" s="4">
        <f t="shared" si="5"/>
        <v>1550</v>
      </c>
      <c r="F102" s="4">
        <v>40</v>
      </c>
      <c r="G102" s="4">
        <f t="shared" si="6"/>
        <v>1510</v>
      </c>
      <c r="H102" s="5">
        <f t="shared" si="7"/>
        <v>2.5806451612903226E-2</v>
      </c>
      <c r="I102" s="4">
        <v>29</v>
      </c>
      <c r="J102" s="74">
        <f t="shared" si="4"/>
        <v>52.068965517241381</v>
      </c>
      <c r="K102" s="73"/>
    </row>
    <row r="103" spans="1:11">
      <c r="B103" s="15">
        <v>5</v>
      </c>
      <c r="C103" s="4">
        <v>500</v>
      </c>
      <c r="D103" s="4">
        <v>500</v>
      </c>
      <c r="E103" s="4">
        <f t="shared" si="5"/>
        <v>1000</v>
      </c>
      <c r="F103" s="4">
        <v>0</v>
      </c>
      <c r="G103" s="4">
        <f t="shared" si="6"/>
        <v>1000</v>
      </c>
      <c r="H103" s="5">
        <f t="shared" si="7"/>
        <v>0</v>
      </c>
      <c r="I103" s="4">
        <v>19</v>
      </c>
      <c r="J103" s="74">
        <f t="shared" si="4"/>
        <v>52.631578947368418</v>
      </c>
      <c r="K103" s="73"/>
    </row>
    <row r="104" spans="1:11">
      <c r="B104" s="4">
        <v>6</v>
      </c>
      <c r="C104" s="4">
        <v>700</v>
      </c>
      <c r="D104" s="4">
        <v>700</v>
      </c>
      <c r="E104" s="4">
        <f t="shared" si="5"/>
        <v>1400</v>
      </c>
      <c r="F104" s="4">
        <v>0</v>
      </c>
      <c r="G104" s="4">
        <f t="shared" si="6"/>
        <v>1400</v>
      </c>
      <c r="H104" s="5">
        <f t="shared" si="7"/>
        <v>0</v>
      </c>
      <c r="I104" s="4">
        <v>44</v>
      </c>
      <c r="J104" s="74">
        <f t="shared" si="4"/>
        <v>31.818181818181817</v>
      </c>
      <c r="K104" s="73"/>
    </row>
    <row r="105" spans="1:11">
      <c r="A105" s="2">
        <v>45826</v>
      </c>
      <c r="B105" s="4">
        <v>1</v>
      </c>
      <c r="C105" s="4">
        <v>650</v>
      </c>
      <c r="D105" s="4">
        <v>650</v>
      </c>
      <c r="E105" s="4">
        <f t="shared" si="5"/>
        <v>1300</v>
      </c>
      <c r="F105" s="4">
        <v>65</v>
      </c>
      <c r="G105" s="4">
        <f t="shared" si="6"/>
        <v>1235</v>
      </c>
      <c r="H105" s="5">
        <f t="shared" si="7"/>
        <v>0.05</v>
      </c>
      <c r="I105" s="4">
        <v>25</v>
      </c>
      <c r="J105" s="74">
        <f t="shared" si="4"/>
        <v>49.4</v>
      </c>
      <c r="K105" s="73"/>
    </row>
    <row r="106" spans="1:11">
      <c r="B106" s="15">
        <v>2</v>
      </c>
      <c r="C106" s="4">
        <v>700</v>
      </c>
      <c r="D106" s="4">
        <v>700</v>
      </c>
      <c r="E106" s="4">
        <f t="shared" si="5"/>
        <v>1400</v>
      </c>
      <c r="F106" s="4">
        <v>40</v>
      </c>
      <c r="G106" s="4">
        <f t="shared" si="6"/>
        <v>1360</v>
      </c>
      <c r="H106" s="5">
        <f t="shared" si="7"/>
        <v>2.8571428571428571E-2</v>
      </c>
      <c r="I106" s="4">
        <v>28</v>
      </c>
      <c r="J106" s="74">
        <f t="shared" si="4"/>
        <v>48.571428571428569</v>
      </c>
      <c r="K106" s="73"/>
    </row>
    <row r="107" spans="1:11">
      <c r="B107" s="4">
        <v>3</v>
      </c>
      <c r="C107" s="4">
        <v>500</v>
      </c>
      <c r="D107" s="4">
        <v>500</v>
      </c>
      <c r="E107" s="4">
        <f t="shared" si="5"/>
        <v>1000</v>
      </c>
      <c r="F107" s="4">
        <v>25</v>
      </c>
      <c r="G107" s="4">
        <f t="shared" si="6"/>
        <v>975</v>
      </c>
      <c r="H107" s="5">
        <f t="shared" si="7"/>
        <v>2.5000000000000001E-2</v>
      </c>
      <c r="I107" s="4">
        <v>21</v>
      </c>
      <c r="J107" s="74">
        <f t="shared" si="4"/>
        <v>46.428571428571431</v>
      </c>
      <c r="K107" s="73"/>
    </row>
    <row r="108" spans="1:11">
      <c r="B108" s="15">
        <v>4</v>
      </c>
      <c r="C108" s="4">
        <v>800</v>
      </c>
      <c r="D108" s="4">
        <v>800</v>
      </c>
      <c r="E108" s="4">
        <f t="shared" si="5"/>
        <v>1600</v>
      </c>
      <c r="F108" s="4">
        <v>50</v>
      </c>
      <c r="G108" s="4">
        <f t="shared" si="6"/>
        <v>1550</v>
      </c>
      <c r="H108" s="5">
        <f t="shared" si="7"/>
        <v>3.125E-2</v>
      </c>
      <c r="I108" s="4">
        <v>29</v>
      </c>
      <c r="J108" s="74">
        <f t="shared" si="4"/>
        <v>53.448275862068968</v>
      </c>
      <c r="K108" s="73"/>
    </row>
    <row r="109" spans="1:11">
      <c r="B109" s="15">
        <v>5</v>
      </c>
      <c r="C109" s="4">
        <v>500</v>
      </c>
      <c r="D109" s="4">
        <v>500</v>
      </c>
      <c r="E109" s="4">
        <f t="shared" si="5"/>
        <v>1000</v>
      </c>
      <c r="F109" s="4">
        <v>35</v>
      </c>
      <c r="G109" s="4">
        <f t="shared" si="6"/>
        <v>965</v>
      </c>
      <c r="H109" s="5">
        <f t="shared" si="7"/>
        <v>3.5000000000000003E-2</v>
      </c>
      <c r="I109" s="4">
        <v>19</v>
      </c>
      <c r="J109" s="74">
        <f t="shared" si="4"/>
        <v>50.789473684210527</v>
      </c>
      <c r="K109" s="73"/>
    </row>
    <row r="110" spans="1:11">
      <c r="B110" s="4">
        <v>6</v>
      </c>
      <c r="C110" s="4">
        <v>700</v>
      </c>
      <c r="D110" s="4">
        <v>700</v>
      </c>
      <c r="E110" s="4">
        <f t="shared" si="5"/>
        <v>1400</v>
      </c>
      <c r="F110" s="4">
        <v>0</v>
      </c>
      <c r="G110" s="4">
        <f t="shared" si="6"/>
        <v>1400</v>
      </c>
      <c r="H110" s="5">
        <f t="shared" si="7"/>
        <v>0</v>
      </c>
      <c r="I110" s="4">
        <v>44</v>
      </c>
      <c r="J110" s="74">
        <f t="shared" si="4"/>
        <v>31.818181818181817</v>
      </c>
      <c r="K110" s="73"/>
    </row>
    <row r="111" spans="1:11">
      <c r="A111" s="2">
        <v>45827</v>
      </c>
      <c r="B111" s="4">
        <v>1</v>
      </c>
      <c r="C111" s="4">
        <v>650</v>
      </c>
      <c r="D111" s="4">
        <v>650</v>
      </c>
      <c r="E111" s="4">
        <f t="shared" si="5"/>
        <v>1300</v>
      </c>
      <c r="F111" s="4">
        <v>0</v>
      </c>
      <c r="G111" s="4">
        <f t="shared" si="6"/>
        <v>1300</v>
      </c>
      <c r="H111" s="5">
        <f t="shared" si="7"/>
        <v>0</v>
      </c>
      <c r="I111" s="4">
        <v>25</v>
      </c>
      <c r="J111" s="74">
        <f t="shared" si="4"/>
        <v>52</v>
      </c>
      <c r="K111" s="73"/>
    </row>
    <row r="112" spans="1:11">
      <c r="B112" s="15">
        <v>2</v>
      </c>
      <c r="C112" s="4">
        <v>700</v>
      </c>
      <c r="D112" s="4">
        <v>700</v>
      </c>
      <c r="E112" s="4">
        <f t="shared" si="5"/>
        <v>1400</v>
      </c>
      <c r="F112" s="4">
        <v>0</v>
      </c>
      <c r="G112" s="4">
        <f t="shared" si="6"/>
        <v>1400</v>
      </c>
      <c r="H112" s="5">
        <f t="shared" si="7"/>
        <v>0</v>
      </c>
      <c r="I112" s="4">
        <v>28</v>
      </c>
      <c r="J112" s="74">
        <f t="shared" si="4"/>
        <v>50</v>
      </c>
      <c r="K112" s="73"/>
    </row>
    <row r="113" spans="1:11">
      <c r="B113" s="4">
        <v>3</v>
      </c>
      <c r="C113" s="4">
        <v>500</v>
      </c>
      <c r="D113" s="4">
        <v>500</v>
      </c>
      <c r="E113" s="4">
        <f t="shared" si="5"/>
        <v>1000</v>
      </c>
      <c r="F113" s="4">
        <v>0</v>
      </c>
      <c r="G113" s="4">
        <f t="shared" si="6"/>
        <v>1000</v>
      </c>
      <c r="H113" s="5">
        <f t="shared" si="7"/>
        <v>0</v>
      </c>
      <c r="I113" s="4">
        <v>21</v>
      </c>
      <c r="J113" s="74">
        <f t="shared" si="4"/>
        <v>47.61904761904762</v>
      </c>
      <c r="K113" s="73"/>
    </row>
    <row r="114" spans="1:11">
      <c r="B114" s="15">
        <v>4</v>
      </c>
      <c r="C114" s="4">
        <v>700</v>
      </c>
      <c r="D114" s="4">
        <v>800</v>
      </c>
      <c r="E114" s="4">
        <f t="shared" si="5"/>
        <v>1500</v>
      </c>
      <c r="F114" s="4">
        <v>135</v>
      </c>
      <c r="G114" s="4">
        <f t="shared" si="6"/>
        <v>1365</v>
      </c>
      <c r="H114" s="5">
        <f t="shared" si="7"/>
        <v>0.09</v>
      </c>
      <c r="I114" s="4">
        <v>29</v>
      </c>
      <c r="J114" s="74">
        <f t="shared" si="4"/>
        <v>47.068965517241381</v>
      </c>
      <c r="K114" s="73"/>
    </row>
    <row r="115" spans="1:11">
      <c r="B115" s="15">
        <v>5</v>
      </c>
      <c r="C115" s="4">
        <v>500</v>
      </c>
      <c r="D115" s="4">
        <v>500</v>
      </c>
      <c r="E115" s="4">
        <f t="shared" si="5"/>
        <v>1000</v>
      </c>
      <c r="F115" s="4">
        <v>200</v>
      </c>
      <c r="G115" s="4">
        <f t="shared" si="6"/>
        <v>800</v>
      </c>
      <c r="H115" s="5">
        <f t="shared" si="7"/>
        <v>0.2</v>
      </c>
      <c r="I115" s="4">
        <v>19</v>
      </c>
      <c r="J115" s="74">
        <f t="shared" si="4"/>
        <v>42.10526315789474</v>
      </c>
      <c r="K115" s="73"/>
    </row>
    <row r="116" spans="1:11">
      <c r="B116" s="4">
        <v>6</v>
      </c>
      <c r="C116" s="4">
        <v>700</v>
      </c>
      <c r="D116" s="4">
        <v>700</v>
      </c>
      <c r="E116" s="4">
        <f t="shared" si="5"/>
        <v>1400</v>
      </c>
      <c r="F116" s="4">
        <v>0</v>
      </c>
      <c r="G116" s="4">
        <f t="shared" si="6"/>
        <v>1400</v>
      </c>
      <c r="H116" s="5">
        <f t="shared" si="7"/>
        <v>0</v>
      </c>
      <c r="I116" s="4">
        <v>44</v>
      </c>
      <c r="J116" s="74">
        <f t="shared" si="4"/>
        <v>31.818181818181817</v>
      </c>
      <c r="K116" s="73"/>
    </row>
    <row r="117" spans="1:11">
      <c r="A117" s="2">
        <v>45828</v>
      </c>
      <c r="B117" s="4">
        <v>1</v>
      </c>
      <c r="C117" s="4">
        <v>650</v>
      </c>
      <c r="D117" s="4">
        <v>650</v>
      </c>
      <c r="E117" s="4">
        <f t="shared" si="5"/>
        <v>1300</v>
      </c>
      <c r="F117" s="4">
        <v>45</v>
      </c>
      <c r="G117" s="4">
        <f t="shared" si="6"/>
        <v>1255</v>
      </c>
      <c r="H117" s="5">
        <f t="shared" si="7"/>
        <v>3.4615384615384617E-2</v>
      </c>
      <c r="I117" s="4">
        <v>25</v>
      </c>
      <c r="J117" s="74">
        <f t="shared" si="4"/>
        <v>50.2</v>
      </c>
      <c r="K117" s="73"/>
    </row>
    <row r="118" spans="1:11">
      <c r="B118" s="15">
        <v>2</v>
      </c>
      <c r="C118" s="4">
        <v>700</v>
      </c>
      <c r="D118" s="4">
        <v>700</v>
      </c>
      <c r="E118" s="4">
        <f t="shared" si="5"/>
        <v>1400</v>
      </c>
      <c r="F118" s="4">
        <v>10</v>
      </c>
      <c r="G118" s="4">
        <f t="shared" si="6"/>
        <v>1390</v>
      </c>
      <c r="H118" s="5">
        <f t="shared" si="7"/>
        <v>7.1428571428571426E-3</v>
      </c>
      <c r="I118" s="4">
        <v>28</v>
      </c>
      <c r="J118" s="74">
        <f t="shared" si="4"/>
        <v>49.642857142857146</v>
      </c>
      <c r="K118" s="73"/>
    </row>
    <row r="119" spans="1:11">
      <c r="B119" s="4">
        <v>3</v>
      </c>
      <c r="C119" s="4">
        <v>500</v>
      </c>
      <c r="D119" s="4">
        <v>500</v>
      </c>
      <c r="E119" s="4">
        <f t="shared" si="5"/>
        <v>1000</v>
      </c>
      <c r="F119" s="4">
        <v>25</v>
      </c>
      <c r="G119" s="4">
        <f t="shared" si="6"/>
        <v>975</v>
      </c>
      <c r="H119" s="5">
        <f t="shared" si="7"/>
        <v>2.5000000000000001E-2</v>
      </c>
      <c r="I119" s="4">
        <v>21</v>
      </c>
      <c r="J119" s="74">
        <f t="shared" si="4"/>
        <v>46.428571428571431</v>
      </c>
      <c r="K119" s="73"/>
    </row>
    <row r="120" spans="1:11">
      <c r="B120" s="15">
        <v>4</v>
      </c>
      <c r="C120" s="4">
        <v>800</v>
      </c>
      <c r="D120" s="4">
        <v>800</v>
      </c>
      <c r="E120" s="4">
        <f t="shared" si="5"/>
        <v>1600</v>
      </c>
      <c r="F120" s="4">
        <v>0</v>
      </c>
      <c r="G120" s="4">
        <f t="shared" si="6"/>
        <v>1600</v>
      </c>
      <c r="H120" s="5">
        <f t="shared" si="7"/>
        <v>0</v>
      </c>
      <c r="I120" s="4">
        <v>29</v>
      </c>
      <c r="J120" s="74">
        <f t="shared" si="4"/>
        <v>55.172413793103445</v>
      </c>
      <c r="K120" s="73"/>
    </row>
    <row r="121" spans="1:11">
      <c r="B121" s="15">
        <v>5</v>
      </c>
      <c r="C121" s="4">
        <v>500</v>
      </c>
      <c r="D121" s="4">
        <v>500</v>
      </c>
      <c r="E121" s="4">
        <f t="shared" si="5"/>
        <v>1000</v>
      </c>
      <c r="F121" s="4">
        <v>0</v>
      </c>
      <c r="G121" s="4">
        <f t="shared" si="6"/>
        <v>1000</v>
      </c>
      <c r="H121" s="5">
        <f t="shared" si="7"/>
        <v>0</v>
      </c>
      <c r="I121" s="4">
        <v>19</v>
      </c>
      <c r="J121" s="74">
        <f t="shared" si="4"/>
        <v>52.631578947368418</v>
      </c>
      <c r="K121" s="73"/>
    </row>
    <row r="122" spans="1:11">
      <c r="B122" s="4">
        <v>6</v>
      </c>
      <c r="C122" s="4">
        <v>700</v>
      </c>
      <c r="D122" s="4">
        <v>700</v>
      </c>
      <c r="E122" s="4">
        <f t="shared" si="5"/>
        <v>1400</v>
      </c>
      <c r="F122" s="4">
        <v>15</v>
      </c>
      <c r="G122" s="4">
        <f t="shared" si="6"/>
        <v>1385</v>
      </c>
      <c r="H122" s="5">
        <f t="shared" si="7"/>
        <v>1.0714285714285714E-2</v>
      </c>
      <c r="I122" s="4">
        <v>44</v>
      </c>
      <c r="J122" s="74">
        <f t="shared" si="4"/>
        <v>31.477272727272727</v>
      </c>
      <c r="K122" s="73"/>
    </row>
    <row r="123" spans="1:11">
      <c r="A123" s="2">
        <v>45829</v>
      </c>
      <c r="B123" s="4">
        <v>1</v>
      </c>
      <c r="C123" s="4">
        <v>650</v>
      </c>
      <c r="D123" s="4">
        <v>650</v>
      </c>
      <c r="E123" s="4">
        <f t="shared" si="5"/>
        <v>1300</v>
      </c>
      <c r="F123" s="4">
        <v>30</v>
      </c>
      <c r="G123" s="4">
        <f t="shared" si="6"/>
        <v>1270</v>
      </c>
      <c r="H123" s="5">
        <f t="shared" si="7"/>
        <v>2.3076923076923078E-2</v>
      </c>
      <c r="I123" s="4">
        <v>25</v>
      </c>
      <c r="J123" s="74">
        <f t="shared" si="4"/>
        <v>50.8</v>
      </c>
      <c r="K123" s="73"/>
    </row>
    <row r="124" spans="1:11">
      <c r="B124" s="15">
        <v>2</v>
      </c>
      <c r="C124" s="4">
        <v>700</v>
      </c>
      <c r="D124" s="4">
        <v>700</v>
      </c>
      <c r="E124" s="4">
        <f t="shared" si="5"/>
        <v>1400</v>
      </c>
      <c r="F124" s="4">
        <v>25</v>
      </c>
      <c r="G124" s="4">
        <f t="shared" si="6"/>
        <v>1375</v>
      </c>
      <c r="H124" s="5">
        <f t="shared" si="7"/>
        <v>1.7857142857142856E-2</v>
      </c>
      <c r="I124" s="4">
        <v>28</v>
      </c>
      <c r="J124" s="74">
        <f t="shared" si="4"/>
        <v>49.107142857142854</v>
      </c>
      <c r="K124" s="73"/>
    </row>
    <row r="125" spans="1:11">
      <c r="B125" s="4">
        <v>3</v>
      </c>
      <c r="C125" s="4">
        <v>500</v>
      </c>
      <c r="D125" s="4">
        <v>500</v>
      </c>
      <c r="E125" s="4">
        <f t="shared" si="5"/>
        <v>1000</v>
      </c>
      <c r="F125" s="4">
        <v>15</v>
      </c>
      <c r="G125" s="4">
        <f t="shared" si="6"/>
        <v>985</v>
      </c>
      <c r="H125" s="5">
        <f t="shared" si="7"/>
        <v>1.4999999999999999E-2</v>
      </c>
      <c r="I125" s="4">
        <v>21</v>
      </c>
      <c r="J125" s="74">
        <f t="shared" si="4"/>
        <v>46.904761904761905</v>
      </c>
      <c r="K125" s="73"/>
    </row>
    <row r="126" spans="1:11">
      <c r="B126" s="15">
        <v>4</v>
      </c>
      <c r="C126" s="4">
        <v>800</v>
      </c>
      <c r="D126" s="4">
        <v>800</v>
      </c>
      <c r="E126" s="4">
        <f t="shared" si="5"/>
        <v>1600</v>
      </c>
      <c r="F126" s="4">
        <v>30</v>
      </c>
      <c r="G126" s="4">
        <f t="shared" si="6"/>
        <v>1570</v>
      </c>
      <c r="H126" s="5">
        <f t="shared" si="7"/>
        <v>1.8749999999999999E-2</v>
      </c>
      <c r="I126" s="4">
        <v>29</v>
      </c>
      <c r="J126" s="74">
        <f t="shared" si="4"/>
        <v>54.137931034482762</v>
      </c>
      <c r="K126" s="73"/>
    </row>
    <row r="127" spans="1:11">
      <c r="B127" s="15">
        <v>5</v>
      </c>
      <c r="C127" s="4">
        <v>500</v>
      </c>
      <c r="D127" s="4">
        <v>500</v>
      </c>
      <c r="E127" s="4">
        <f t="shared" si="5"/>
        <v>1000</v>
      </c>
      <c r="F127" s="4">
        <v>65</v>
      </c>
      <c r="G127" s="4">
        <f t="shared" si="6"/>
        <v>935</v>
      </c>
      <c r="H127" s="5">
        <f t="shared" si="7"/>
        <v>6.5000000000000002E-2</v>
      </c>
      <c r="I127" s="4">
        <v>19</v>
      </c>
      <c r="J127" s="74">
        <f t="shared" si="4"/>
        <v>49.210526315789473</v>
      </c>
      <c r="K127" s="73"/>
    </row>
    <row r="128" spans="1:11">
      <c r="B128" s="4">
        <v>6</v>
      </c>
      <c r="C128" s="4">
        <v>1000</v>
      </c>
      <c r="D128" s="4">
        <v>1000</v>
      </c>
      <c r="E128" s="4">
        <f t="shared" si="5"/>
        <v>2000</v>
      </c>
      <c r="F128" s="4">
        <v>35</v>
      </c>
      <c r="G128" s="4">
        <f t="shared" si="6"/>
        <v>1965</v>
      </c>
      <c r="H128" s="5">
        <f t="shared" si="7"/>
        <v>1.7500000000000002E-2</v>
      </c>
      <c r="I128" s="4">
        <v>44</v>
      </c>
      <c r="J128" s="74">
        <f t="shared" si="4"/>
        <v>44.659090909090907</v>
      </c>
      <c r="K128" s="73"/>
    </row>
    <row r="129" spans="1:11">
      <c r="A129" s="2">
        <v>45830</v>
      </c>
      <c r="B129" s="4">
        <v>1</v>
      </c>
      <c r="C129" s="4">
        <v>650</v>
      </c>
      <c r="D129" s="4">
        <v>650</v>
      </c>
      <c r="E129" s="4">
        <f t="shared" si="5"/>
        <v>1300</v>
      </c>
      <c r="F129" s="4">
        <v>85</v>
      </c>
      <c r="G129" s="4">
        <f t="shared" si="6"/>
        <v>1215</v>
      </c>
      <c r="H129" s="5">
        <f t="shared" si="7"/>
        <v>6.5384615384615388E-2</v>
      </c>
      <c r="I129" s="4">
        <v>25</v>
      </c>
      <c r="J129" s="74">
        <f t="shared" si="4"/>
        <v>48.6</v>
      </c>
      <c r="K129" s="73"/>
    </row>
    <row r="130" spans="1:11">
      <c r="B130" s="15">
        <v>2</v>
      </c>
      <c r="C130" s="4">
        <v>700</v>
      </c>
      <c r="D130" s="4">
        <v>700</v>
      </c>
      <c r="E130" s="4">
        <f t="shared" si="5"/>
        <v>1400</v>
      </c>
      <c r="F130" s="4">
        <v>30</v>
      </c>
      <c r="G130" s="4">
        <f t="shared" si="6"/>
        <v>1370</v>
      </c>
      <c r="H130" s="5">
        <f t="shared" si="7"/>
        <v>2.1428571428571429E-2</v>
      </c>
      <c r="I130" s="4">
        <v>28</v>
      </c>
      <c r="J130" s="74">
        <f t="shared" si="4"/>
        <v>48.928571428571431</v>
      </c>
      <c r="K130" s="73"/>
    </row>
    <row r="131" spans="1:11">
      <c r="B131" s="4">
        <v>3</v>
      </c>
      <c r="C131" s="4">
        <v>500</v>
      </c>
      <c r="D131" s="4">
        <v>500</v>
      </c>
      <c r="E131" s="4">
        <f t="shared" si="5"/>
        <v>1000</v>
      </c>
      <c r="F131" s="4">
        <v>15</v>
      </c>
      <c r="G131" s="4">
        <f t="shared" si="6"/>
        <v>985</v>
      </c>
      <c r="H131" s="5">
        <f t="shared" si="7"/>
        <v>1.4999999999999999E-2</v>
      </c>
      <c r="I131" s="4">
        <v>21</v>
      </c>
      <c r="J131" s="74">
        <f t="shared" si="4"/>
        <v>46.904761904761905</v>
      </c>
      <c r="K131" s="73"/>
    </row>
    <row r="132" spans="1:11">
      <c r="B132" s="15">
        <v>4</v>
      </c>
      <c r="C132" s="4">
        <v>800</v>
      </c>
      <c r="D132" s="4">
        <v>800</v>
      </c>
      <c r="E132" s="4">
        <f t="shared" si="5"/>
        <v>1600</v>
      </c>
      <c r="F132" s="4">
        <v>25</v>
      </c>
      <c r="G132" s="4">
        <f t="shared" si="6"/>
        <v>1575</v>
      </c>
      <c r="H132" s="5">
        <f t="shared" si="7"/>
        <v>1.5625E-2</v>
      </c>
      <c r="I132" s="4">
        <v>29</v>
      </c>
      <c r="J132" s="74">
        <f t="shared" ref="J132:J182" si="8">$G132/I132</f>
        <v>54.310344827586206</v>
      </c>
      <c r="K132" s="73"/>
    </row>
    <row r="133" spans="1:11">
      <c r="B133" s="15">
        <v>5</v>
      </c>
      <c r="C133" s="4">
        <v>500</v>
      </c>
      <c r="D133" s="4">
        <v>500</v>
      </c>
      <c r="E133" s="4">
        <f t="shared" si="5"/>
        <v>1000</v>
      </c>
      <c r="F133" s="4">
        <v>40</v>
      </c>
      <c r="G133" s="4">
        <f t="shared" si="6"/>
        <v>960</v>
      </c>
      <c r="H133" s="5">
        <f t="shared" si="7"/>
        <v>0.04</v>
      </c>
      <c r="I133" s="4">
        <v>19</v>
      </c>
      <c r="J133" s="74">
        <f t="shared" si="8"/>
        <v>50.526315789473685</v>
      </c>
      <c r="K133" s="73"/>
    </row>
    <row r="134" spans="1:11">
      <c r="B134" s="4">
        <v>6</v>
      </c>
      <c r="C134" s="4">
        <v>1000</v>
      </c>
      <c r="D134" s="4">
        <v>1000</v>
      </c>
      <c r="E134" s="4">
        <f t="shared" si="5"/>
        <v>2000</v>
      </c>
      <c r="F134" s="4">
        <v>115</v>
      </c>
      <c r="G134" s="4">
        <f t="shared" si="6"/>
        <v>1885</v>
      </c>
      <c r="H134" s="5">
        <f t="shared" si="7"/>
        <v>5.7500000000000002E-2</v>
      </c>
      <c r="I134" s="4">
        <v>44</v>
      </c>
      <c r="J134" s="74">
        <f t="shared" si="8"/>
        <v>42.840909090909093</v>
      </c>
      <c r="K134" s="73"/>
    </row>
    <row r="135" spans="1:11">
      <c r="A135" s="2">
        <v>45831</v>
      </c>
      <c r="B135" s="4">
        <v>1</v>
      </c>
      <c r="C135" s="4">
        <v>625</v>
      </c>
      <c r="D135" s="4">
        <v>650</v>
      </c>
      <c r="E135" s="4">
        <f t="shared" si="5"/>
        <v>1275</v>
      </c>
      <c r="F135" s="4">
        <v>100</v>
      </c>
      <c r="G135" s="4">
        <f t="shared" si="6"/>
        <v>1175</v>
      </c>
      <c r="H135" s="5">
        <f t="shared" si="7"/>
        <v>7.8431372549019607E-2</v>
      </c>
      <c r="I135" s="4">
        <v>25</v>
      </c>
      <c r="J135" s="74">
        <f t="shared" si="8"/>
        <v>47</v>
      </c>
      <c r="K135" s="73"/>
    </row>
    <row r="136" spans="1:11">
      <c r="B136" s="15">
        <v>2</v>
      </c>
      <c r="C136" s="4">
        <v>700</v>
      </c>
      <c r="D136" s="4">
        <v>700</v>
      </c>
      <c r="E136" s="4">
        <f t="shared" si="5"/>
        <v>1400</v>
      </c>
      <c r="F136" s="4">
        <v>30</v>
      </c>
      <c r="G136" s="4">
        <f t="shared" si="6"/>
        <v>1370</v>
      </c>
      <c r="H136" s="5">
        <f t="shared" si="7"/>
        <v>2.1428571428571429E-2</v>
      </c>
      <c r="I136" s="4">
        <v>28</v>
      </c>
      <c r="J136" s="74">
        <f t="shared" si="8"/>
        <v>48.928571428571431</v>
      </c>
      <c r="K136" s="73"/>
    </row>
    <row r="137" spans="1:11">
      <c r="B137" s="4">
        <v>3</v>
      </c>
      <c r="C137" s="4">
        <v>525</v>
      </c>
      <c r="D137" s="4">
        <v>525</v>
      </c>
      <c r="E137" s="4">
        <f t="shared" si="5"/>
        <v>1050</v>
      </c>
      <c r="F137" s="4">
        <v>10</v>
      </c>
      <c r="G137" s="4">
        <f t="shared" si="6"/>
        <v>1040</v>
      </c>
      <c r="H137" s="5">
        <f t="shared" si="7"/>
        <v>9.5238095238095247E-3</v>
      </c>
      <c r="I137" s="4">
        <v>21</v>
      </c>
      <c r="J137" s="74">
        <f t="shared" si="8"/>
        <v>49.523809523809526</v>
      </c>
      <c r="K137" s="73"/>
    </row>
    <row r="138" spans="1:11">
      <c r="B138" s="15">
        <v>4</v>
      </c>
      <c r="C138" s="4">
        <v>725</v>
      </c>
      <c r="D138" s="4">
        <v>725</v>
      </c>
      <c r="E138" s="4">
        <f t="shared" si="5"/>
        <v>1450</v>
      </c>
      <c r="F138" s="4">
        <v>15</v>
      </c>
      <c r="G138" s="4">
        <f t="shared" si="6"/>
        <v>1435</v>
      </c>
      <c r="H138" s="5">
        <f t="shared" si="7"/>
        <v>1.0344827586206896E-2</v>
      </c>
      <c r="I138" s="4">
        <v>30</v>
      </c>
      <c r="J138" s="74">
        <f t="shared" si="8"/>
        <v>47.833333333333336</v>
      </c>
      <c r="K138" s="73"/>
    </row>
    <row r="139" spans="1:11">
      <c r="B139" s="15">
        <v>5</v>
      </c>
      <c r="C139" s="4">
        <v>457</v>
      </c>
      <c r="D139" s="4">
        <v>460</v>
      </c>
      <c r="E139" s="4">
        <f t="shared" si="5"/>
        <v>917</v>
      </c>
      <c r="F139" s="4">
        <v>250</v>
      </c>
      <c r="G139" s="4">
        <f t="shared" si="6"/>
        <v>667</v>
      </c>
      <c r="H139" s="5">
        <f t="shared" si="7"/>
        <v>0.27262813522355506</v>
      </c>
      <c r="I139" s="4">
        <v>19</v>
      </c>
      <c r="J139" s="74">
        <f t="shared" si="8"/>
        <v>35.10526315789474</v>
      </c>
      <c r="K139" s="73"/>
    </row>
    <row r="140" spans="1:11">
      <c r="B140" s="4">
        <v>6</v>
      </c>
      <c r="C140" s="4">
        <v>1000</v>
      </c>
      <c r="D140" s="4">
        <v>1000</v>
      </c>
      <c r="E140" s="4">
        <f t="shared" si="5"/>
        <v>2000</v>
      </c>
      <c r="F140" s="4">
        <v>0</v>
      </c>
      <c r="G140" s="4">
        <f t="shared" si="6"/>
        <v>2000</v>
      </c>
      <c r="H140" s="5">
        <f t="shared" si="7"/>
        <v>0</v>
      </c>
      <c r="I140" s="4">
        <v>40</v>
      </c>
      <c r="J140" s="74">
        <f t="shared" si="8"/>
        <v>50</v>
      </c>
      <c r="K140" s="73"/>
    </row>
    <row r="141" spans="1:11">
      <c r="A141" s="2">
        <v>45832</v>
      </c>
      <c r="B141" s="4">
        <v>1</v>
      </c>
      <c r="C141" s="4">
        <v>650</v>
      </c>
      <c r="D141" s="4">
        <v>650</v>
      </c>
      <c r="E141" s="4">
        <f t="shared" si="5"/>
        <v>1300</v>
      </c>
      <c r="F141" s="4">
        <v>0</v>
      </c>
      <c r="G141" s="4">
        <f t="shared" si="6"/>
        <v>1300</v>
      </c>
      <c r="H141" s="5">
        <f t="shared" si="7"/>
        <v>0</v>
      </c>
      <c r="I141" s="4">
        <v>53</v>
      </c>
      <c r="J141" s="74">
        <f t="shared" si="8"/>
        <v>24.528301886792452</v>
      </c>
      <c r="K141" s="73"/>
    </row>
    <row r="142" spans="1:11">
      <c r="B142" s="15">
        <v>2</v>
      </c>
      <c r="C142" s="4">
        <v>700</v>
      </c>
      <c r="D142" s="4">
        <v>700</v>
      </c>
      <c r="E142" s="4">
        <f t="shared" si="5"/>
        <v>1400</v>
      </c>
      <c r="F142" s="4">
        <v>0</v>
      </c>
      <c r="G142" s="4">
        <f t="shared" si="6"/>
        <v>1400</v>
      </c>
      <c r="H142" s="5">
        <f t="shared" si="7"/>
        <v>0</v>
      </c>
      <c r="I142" s="4">
        <v>0</v>
      </c>
      <c r="J142" s="74" t="e">
        <f t="shared" si="8"/>
        <v>#DIV/0!</v>
      </c>
      <c r="K142" s="73"/>
    </row>
    <row r="143" spans="1:11">
      <c r="B143" s="4">
        <v>3</v>
      </c>
      <c r="C143" s="4">
        <v>500</v>
      </c>
      <c r="D143" s="4">
        <v>600</v>
      </c>
      <c r="E143" s="4">
        <f t="shared" si="5"/>
        <v>1100</v>
      </c>
      <c r="F143" s="4">
        <v>65</v>
      </c>
      <c r="G143" s="4">
        <f t="shared" si="6"/>
        <v>1035</v>
      </c>
      <c r="H143" s="5">
        <f t="shared" si="7"/>
        <v>5.909090909090909E-2</v>
      </c>
      <c r="I143" s="4">
        <v>21</v>
      </c>
      <c r="J143" s="74">
        <f t="shared" si="8"/>
        <v>49.285714285714285</v>
      </c>
      <c r="K143" s="73"/>
    </row>
    <row r="144" spans="1:11">
      <c r="B144" s="15">
        <v>4</v>
      </c>
      <c r="C144" s="4">
        <v>800</v>
      </c>
      <c r="D144" s="4">
        <v>850</v>
      </c>
      <c r="E144" s="4">
        <f t="shared" si="5"/>
        <v>1650</v>
      </c>
      <c r="F144" s="4">
        <v>20</v>
      </c>
      <c r="G144" s="4">
        <f t="shared" si="6"/>
        <v>1630</v>
      </c>
      <c r="H144" s="5">
        <f t="shared" si="7"/>
        <v>1.2121212121212121E-2</v>
      </c>
      <c r="I144" s="4">
        <v>30</v>
      </c>
      <c r="J144" s="74">
        <f t="shared" si="8"/>
        <v>54.333333333333336</v>
      </c>
      <c r="K144" s="73"/>
    </row>
    <row r="145" spans="1:11">
      <c r="B145" s="15">
        <v>5</v>
      </c>
      <c r="C145" s="4">
        <v>500</v>
      </c>
      <c r="D145" s="4">
        <v>500</v>
      </c>
      <c r="E145" s="4">
        <f t="shared" si="5"/>
        <v>1000</v>
      </c>
      <c r="F145" s="4">
        <v>0</v>
      </c>
      <c r="G145" s="4">
        <f t="shared" si="6"/>
        <v>1000</v>
      </c>
      <c r="H145" s="5">
        <f t="shared" si="7"/>
        <v>0</v>
      </c>
      <c r="I145" s="4">
        <v>19</v>
      </c>
      <c r="J145" s="74">
        <f t="shared" si="8"/>
        <v>52.631578947368418</v>
      </c>
      <c r="K145" s="73"/>
    </row>
    <row r="146" spans="1:11">
      <c r="B146" s="4">
        <v>6</v>
      </c>
      <c r="C146" s="4">
        <v>700</v>
      </c>
      <c r="D146" s="4">
        <v>700</v>
      </c>
      <c r="E146" s="4">
        <f t="shared" si="5"/>
        <v>1400</v>
      </c>
      <c r="F146" s="4">
        <v>85</v>
      </c>
      <c r="G146" s="4">
        <f t="shared" si="6"/>
        <v>1315</v>
      </c>
      <c r="H146" s="5">
        <f t="shared" si="7"/>
        <v>6.0714285714285714E-2</v>
      </c>
      <c r="I146" s="4">
        <v>40</v>
      </c>
      <c r="J146" s="74">
        <f t="shared" si="8"/>
        <v>32.875</v>
      </c>
      <c r="K146" s="73"/>
    </row>
    <row r="147" spans="1:11">
      <c r="A147" s="2">
        <v>45833</v>
      </c>
      <c r="B147" s="4">
        <v>1</v>
      </c>
      <c r="C147" s="4">
        <v>1325</v>
      </c>
      <c r="D147" s="4">
        <v>1325</v>
      </c>
      <c r="E147" s="4">
        <f t="shared" si="5"/>
        <v>2650</v>
      </c>
      <c r="G147" s="4">
        <f t="shared" si="6"/>
        <v>2650</v>
      </c>
      <c r="H147" s="5">
        <f t="shared" si="7"/>
        <v>0</v>
      </c>
      <c r="I147" s="4">
        <v>53</v>
      </c>
      <c r="J147" s="74">
        <f t="shared" si="8"/>
        <v>50</v>
      </c>
      <c r="K147" s="73"/>
    </row>
    <row r="148" spans="1:11">
      <c r="B148" s="15">
        <v>2</v>
      </c>
      <c r="C148" s="4">
        <v>0</v>
      </c>
      <c r="D148" s="4">
        <v>0</v>
      </c>
      <c r="E148" s="4">
        <f t="shared" si="5"/>
        <v>0</v>
      </c>
      <c r="G148" s="4">
        <f t="shared" si="6"/>
        <v>0</v>
      </c>
      <c r="H148" s="5" t="e">
        <f t="shared" si="7"/>
        <v>#DIV/0!</v>
      </c>
      <c r="I148" s="4">
        <v>0</v>
      </c>
      <c r="J148" s="74" t="e">
        <f t="shared" si="8"/>
        <v>#DIV/0!</v>
      </c>
      <c r="K148" s="73"/>
    </row>
    <row r="149" spans="1:11">
      <c r="B149" s="4">
        <v>3</v>
      </c>
      <c r="C149" s="4">
        <v>525</v>
      </c>
      <c r="D149" s="4">
        <v>525</v>
      </c>
      <c r="E149" s="4">
        <f t="shared" si="5"/>
        <v>1050</v>
      </c>
      <c r="G149" s="4">
        <f t="shared" si="6"/>
        <v>1050</v>
      </c>
      <c r="H149" s="5">
        <f t="shared" si="7"/>
        <v>0</v>
      </c>
      <c r="I149" s="4">
        <v>21</v>
      </c>
      <c r="J149" s="74">
        <f t="shared" si="8"/>
        <v>50</v>
      </c>
      <c r="K149" s="73"/>
    </row>
    <row r="150" spans="1:11">
      <c r="B150" s="15">
        <v>4</v>
      </c>
      <c r="C150" s="4">
        <v>725</v>
      </c>
      <c r="D150" s="4">
        <v>725</v>
      </c>
      <c r="E150" s="4">
        <f t="shared" si="5"/>
        <v>1450</v>
      </c>
      <c r="G150" s="4">
        <f t="shared" si="6"/>
        <v>1450</v>
      </c>
      <c r="H150" s="5">
        <f t="shared" si="7"/>
        <v>0</v>
      </c>
      <c r="I150" s="4">
        <v>30</v>
      </c>
      <c r="J150" s="74">
        <f t="shared" si="8"/>
        <v>48.333333333333336</v>
      </c>
      <c r="K150" s="73"/>
    </row>
    <row r="151" spans="1:11">
      <c r="B151" s="15">
        <v>5</v>
      </c>
      <c r="C151" s="4">
        <v>475</v>
      </c>
      <c r="D151" s="4">
        <v>455</v>
      </c>
      <c r="E151" s="4">
        <f t="shared" si="5"/>
        <v>930</v>
      </c>
      <c r="G151" s="4">
        <f t="shared" si="6"/>
        <v>930</v>
      </c>
      <c r="H151" s="5">
        <f t="shared" si="7"/>
        <v>0</v>
      </c>
      <c r="I151" s="4">
        <v>19</v>
      </c>
      <c r="J151" s="74">
        <f t="shared" si="8"/>
        <v>48.94736842105263</v>
      </c>
      <c r="K151" s="73"/>
    </row>
    <row r="152" spans="1:11">
      <c r="B152" s="4">
        <v>6</v>
      </c>
      <c r="C152" s="4">
        <v>1125</v>
      </c>
      <c r="D152" s="4">
        <v>1125</v>
      </c>
      <c r="E152" s="4">
        <f t="shared" si="5"/>
        <v>2250</v>
      </c>
      <c r="G152" s="4">
        <f t="shared" si="6"/>
        <v>2250</v>
      </c>
      <c r="H152" s="5">
        <f t="shared" si="7"/>
        <v>0</v>
      </c>
      <c r="I152" s="4">
        <v>40</v>
      </c>
      <c r="J152" s="74">
        <f t="shared" si="8"/>
        <v>56.25</v>
      </c>
      <c r="K152" s="73"/>
    </row>
    <row r="153" spans="1:11">
      <c r="A153" s="2">
        <v>45834</v>
      </c>
      <c r="B153" s="4">
        <v>1</v>
      </c>
      <c r="C153" s="4">
        <v>1300</v>
      </c>
      <c r="D153" s="4">
        <v>1370</v>
      </c>
      <c r="E153" s="4">
        <f t="shared" si="5"/>
        <v>2670</v>
      </c>
      <c r="F153" s="4">
        <v>35</v>
      </c>
      <c r="G153" s="4">
        <f t="shared" si="6"/>
        <v>2635</v>
      </c>
      <c r="H153" s="5">
        <f t="shared" si="7"/>
        <v>1.3108614232209739E-2</v>
      </c>
      <c r="I153" s="4">
        <v>53</v>
      </c>
      <c r="J153" s="74">
        <f t="shared" si="8"/>
        <v>49.716981132075475</v>
      </c>
      <c r="K153" s="73"/>
    </row>
    <row r="154" spans="1:11">
      <c r="B154" s="15">
        <v>2</v>
      </c>
      <c r="C154" s="4">
        <v>0</v>
      </c>
      <c r="D154" s="4">
        <v>0</v>
      </c>
      <c r="E154" s="4">
        <f>$C154+D154</f>
        <v>0</v>
      </c>
      <c r="F154" s="4">
        <v>0</v>
      </c>
      <c r="G154" s="4">
        <f t="shared" si="6"/>
        <v>0</v>
      </c>
      <c r="H154" s="5" t="e">
        <f t="shared" si="7"/>
        <v>#DIV/0!</v>
      </c>
      <c r="I154" s="4">
        <v>0</v>
      </c>
      <c r="J154" s="74" t="e">
        <f t="shared" si="8"/>
        <v>#DIV/0!</v>
      </c>
      <c r="K154" s="73"/>
    </row>
    <row r="155" spans="1:11">
      <c r="B155" s="4">
        <v>3</v>
      </c>
      <c r="C155" s="4">
        <v>600</v>
      </c>
      <c r="D155" s="4">
        <v>650</v>
      </c>
      <c r="E155" s="4">
        <f>$C155+D155</f>
        <v>1250</v>
      </c>
      <c r="F155" s="4">
        <v>20</v>
      </c>
      <c r="G155" s="4">
        <f t="shared" si="6"/>
        <v>1230</v>
      </c>
      <c r="H155" s="5">
        <f t="shared" si="7"/>
        <v>1.6E-2</v>
      </c>
      <c r="I155" s="4">
        <v>21</v>
      </c>
      <c r="J155" s="74">
        <f t="shared" si="8"/>
        <v>58.571428571428569</v>
      </c>
      <c r="K155" s="73"/>
    </row>
    <row r="156" spans="1:11">
      <c r="B156" s="15">
        <v>4</v>
      </c>
      <c r="C156" s="4">
        <v>700</v>
      </c>
      <c r="D156" s="4">
        <v>700</v>
      </c>
      <c r="E156" s="4">
        <f t="shared" si="5"/>
        <v>1400</v>
      </c>
      <c r="F156" s="4">
        <v>60</v>
      </c>
      <c r="G156" s="4">
        <f t="shared" si="6"/>
        <v>1340</v>
      </c>
      <c r="H156" s="5">
        <f t="shared" si="7"/>
        <v>4.2857142857142858E-2</v>
      </c>
      <c r="I156" s="4">
        <v>30</v>
      </c>
      <c r="J156" s="74">
        <f t="shared" si="8"/>
        <v>44.666666666666664</v>
      </c>
      <c r="K156" s="73"/>
    </row>
    <row r="157" spans="1:11">
      <c r="B157" s="15">
        <v>5</v>
      </c>
      <c r="C157" s="4">
        <v>500</v>
      </c>
      <c r="D157" s="4">
        <v>500</v>
      </c>
      <c r="E157" s="4">
        <f t="shared" si="5"/>
        <v>1000</v>
      </c>
      <c r="F157" s="4">
        <v>85</v>
      </c>
      <c r="G157" s="4">
        <f t="shared" si="6"/>
        <v>915</v>
      </c>
      <c r="H157" s="5">
        <f t="shared" si="7"/>
        <v>8.5000000000000006E-2</v>
      </c>
      <c r="I157" s="4">
        <v>19</v>
      </c>
      <c r="J157" s="74">
        <f t="shared" si="8"/>
        <v>48.157894736842103</v>
      </c>
      <c r="K157" s="73"/>
    </row>
    <row r="158" spans="1:11">
      <c r="B158" s="4">
        <v>6</v>
      </c>
      <c r="C158" s="4">
        <v>1050</v>
      </c>
      <c r="D158" s="4">
        <v>1170</v>
      </c>
      <c r="E158" s="4">
        <f t="shared" si="5"/>
        <v>2220</v>
      </c>
      <c r="F158" s="4">
        <v>40</v>
      </c>
      <c r="G158" s="4">
        <f t="shared" si="6"/>
        <v>2180</v>
      </c>
      <c r="H158" s="5">
        <f t="shared" si="7"/>
        <v>1.8018018018018018E-2</v>
      </c>
      <c r="I158" s="4">
        <v>40</v>
      </c>
      <c r="J158" s="74">
        <f t="shared" si="8"/>
        <v>54.5</v>
      </c>
      <c r="K158" s="73"/>
    </row>
    <row r="159" spans="1:11">
      <c r="A159" s="2">
        <v>45835</v>
      </c>
      <c r="B159" s="4">
        <v>1</v>
      </c>
      <c r="C159" s="4">
        <v>1300</v>
      </c>
      <c r="D159" s="4">
        <v>1300</v>
      </c>
      <c r="E159" s="4">
        <f t="shared" si="5"/>
        <v>2600</v>
      </c>
      <c r="F159" s="4">
        <v>55</v>
      </c>
      <c r="G159" s="4">
        <f t="shared" si="6"/>
        <v>2545</v>
      </c>
      <c r="H159" s="5">
        <f t="shared" si="7"/>
        <v>2.1153846153846155E-2</v>
      </c>
      <c r="I159" s="4">
        <v>53</v>
      </c>
      <c r="J159" s="74">
        <f t="shared" si="8"/>
        <v>48.018867924528301</v>
      </c>
      <c r="K159" s="73"/>
    </row>
    <row r="160" spans="1:11">
      <c r="B160" s="15">
        <v>2</v>
      </c>
      <c r="C160" s="4">
        <v>0</v>
      </c>
      <c r="D160" s="4">
        <v>0</v>
      </c>
      <c r="E160" s="4">
        <f t="shared" si="5"/>
        <v>0</v>
      </c>
      <c r="F160" s="4">
        <v>0</v>
      </c>
      <c r="G160" s="4">
        <f t="shared" si="6"/>
        <v>0</v>
      </c>
      <c r="H160" s="5" t="e">
        <f t="shared" si="7"/>
        <v>#DIV/0!</v>
      </c>
      <c r="I160" s="4">
        <v>0</v>
      </c>
      <c r="J160" s="74" t="e">
        <f t="shared" si="8"/>
        <v>#DIV/0!</v>
      </c>
      <c r="K160" s="73"/>
    </row>
    <row r="161" spans="1:11">
      <c r="B161" s="4">
        <v>3</v>
      </c>
      <c r="C161" s="4">
        <v>600</v>
      </c>
      <c r="D161" s="4">
        <v>600</v>
      </c>
      <c r="E161" s="4">
        <f t="shared" si="5"/>
        <v>1200</v>
      </c>
      <c r="F161" s="4">
        <v>30</v>
      </c>
      <c r="G161" s="4">
        <f t="shared" si="6"/>
        <v>1170</v>
      </c>
      <c r="H161" s="5">
        <f t="shared" si="7"/>
        <v>2.5000000000000001E-2</v>
      </c>
      <c r="I161" s="4">
        <v>21</v>
      </c>
      <c r="J161" s="74">
        <f t="shared" si="8"/>
        <v>55.714285714285715</v>
      </c>
      <c r="K161" s="73"/>
    </row>
    <row r="162" spans="1:11">
      <c r="B162" s="15">
        <v>4</v>
      </c>
      <c r="C162" s="4">
        <v>700</v>
      </c>
      <c r="D162" s="4">
        <v>700</v>
      </c>
      <c r="E162" s="4">
        <f t="shared" ref="E162:E182" si="9">$C162+D162</f>
        <v>1400</v>
      </c>
      <c r="F162" s="4">
        <v>45</v>
      </c>
      <c r="G162" s="4">
        <f t="shared" si="6"/>
        <v>1355</v>
      </c>
      <c r="H162" s="5">
        <f t="shared" si="7"/>
        <v>3.214285714285714E-2</v>
      </c>
      <c r="I162" s="4">
        <v>30</v>
      </c>
      <c r="J162" s="74">
        <f t="shared" si="8"/>
        <v>45.166666666666664</v>
      </c>
      <c r="K162" s="73"/>
    </row>
    <row r="163" spans="1:11">
      <c r="B163" s="15">
        <v>5</v>
      </c>
      <c r="C163" s="4">
        <v>500</v>
      </c>
      <c r="D163" s="4">
        <v>500</v>
      </c>
      <c r="E163" s="4">
        <f t="shared" si="9"/>
        <v>1000</v>
      </c>
      <c r="F163" s="4">
        <v>30</v>
      </c>
      <c r="G163" s="4">
        <f t="shared" ref="G163:G181" si="10">$E163-F163</f>
        <v>970</v>
      </c>
      <c r="H163" s="5">
        <f t="shared" si="7"/>
        <v>0.03</v>
      </c>
      <c r="I163" s="4">
        <v>19</v>
      </c>
      <c r="J163" s="74">
        <f t="shared" si="8"/>
        <v>51.05263157894737</v>
      </c>
      <c r="K163" s="73"/>
    </row>
    <row r="164" spans="1:11">
      <c r="B164" s="4">
        <v>6</v>
      </c>
      <c r="C164" s="4">
        <v>1100</v>
      </c>
      <c r="D164" s="4">
        <v>1100</v>
      </c>
      <c r="E164" s="4">
        <f t="shared" si="9"/>
        <v>2200</v>
      </c>
      <c r="F164" s="4">
        <v>70</v>
      </c>
      <c r="G164" s="4">
        <f t="shared" si="10"/>
        <v>2130</v>
      </c>
      <c r="H164" s="5">
        <f t="shared" ref="H164:H182" si="11">F164/E164</f>
        <v>3.1818181818181815E-2</v>
      </c>
      <c r="I164" s="4">
        <v>40</v>
      </c>
      <c r="J164" s="74">
        <f t="shared" si="8"/>
        <v>53.25</v>
      </c>
      <c r="K164" s="73"/>
    </row>
    <row r="165" spans="1:11">
      <c r="A165" s="2">
        <v>45836</v>
      </c>
      <c r="B165" s="4">
        <v>1</v>
      </c>
      <c r="C165" s="4">
        <v>1300</v>
      </c>
      <c r="D165" s="4">
        <v>1300</v>
      </c>
      <c r="E165" s="4">
        <f t="shared" si="9"/>
        <v>2600</v>
      </c>
      <c r="F165" s="4">
        <v>30</v>
      </c>
      <c r="G165" s="4">
        <f t="shared" si="10"/>
        <v>2570</v>
      </c>
      <c r="H165" s="5">
        <f t="shared" si="11"/>
        <v>1.1538461538461539E-2</v>
      </c>
      <c r="I165" s="4">
        <v>53</v>
      </c>
      <c r="J165" s="74">
        <f t="shared" si="8"/>
        <v>48.490566037735846</v>
      </c>
      <c r="K165" s="73"/>
    </row>
    <row r="166" spans="1:11">
      <c r="B166" s="15">
        <v>2</v>
      </c>
      <c r="C166" s="4">
        <v>0</v>
      </c>
      <c r="D166" s="4">
        <v>0</v>
      </c>
      <c r="E166" s="4">
        <f t="shared" si="9"/>
        <v>0</v>
      </c>
      <c r="F166" s="4">
        <v>0</v>
      </c>
      <c r="G166" s="4">
        <f t="shared" si="10"/>
        <v>0</v>
      </c>
      <c r="H166" s="5" t="e">
        <f t="shared" si="11"/>
        <v>#DIV/0!</v>
      </c>
      <c r="I166" s="4">
        <v>0</v>
      </c>
      <c r="J166" s="74" t="e">
        <f t="shared" si="8"/>
        <v>#DIV/0!</v>
      </c>
      <c r="K166" s="73"/>
    </row>
    <row r="167" spans="1:11">
      <c r="B167" s="4">
        <v>3</v>
      </c>
      <c r="C167" s="4">
        <v>600</v>
      </c>
      <c r="D167" s="4">
        <v>600</v>
      </c>
      <c r="E167" s="4">
        <f t="shared" si="9"/>
        <v>1200</v>
      </c>
      <c r="F167" s="4">
        <v>15</v>
      </c>
      <c r="G167" s="4">
        <f t="shared" si="10"/>
        <v>1185</v>
      </c>
      <c r="H167" s="5">
        <f t="shared" si="11"/>
        <v>1.2500000000000001E-2</v>
      </c>
      <c r="I167" s="4">
        <v>21</v>
      </c>
      <c r="J167" s="74">
        <f t="shared" si="8"/>
        <v>56.428571428571431</v>
      </c>
      <c r="K167" s="73"/>
    </row>
    <row r="168" spans="1:11">
      <c r="B168" s="15">
        <v>4</v>
      </c>
      <c r="C168" s="4">
        <v>700</v>
      </c>
      <c r="D168" s="4">
        <v>700</v>
      </c>
      <c r="E168" s="4">
        <f t="shared" si="9"/>
        <v>1400</v>
      </c>
      <c r="F168" s="4">
        <v>35</v>
      </c>
      <c r="G168" s="4">
        <f t="shared" si="10"/>
        <v>1365</v>
      </c>
      <c r="H168" s="5">
        <f t="shared" si="11"/>
        <v>2.5000000000000001E-2</v>
      </c>
      <c r="I168" s="4">
        <v>30</v>
      </c>
      <c r="J168" s="74">
        <f t="shared" si="8"/>
        <v>45.5</v>
      </c>
      <c r="K168" s="73"/>
    </row>
    <row r="169" spans="1:11">
      <c r="B169" s="15">
        <v>5</v>
      </c>
      <c r="C169" s="4">
        <v>500</v>
      </c>
      <c r="D169" s="4">
        <v>500</v>
      </c>
      <c r="E169" s="4">
        <f t="shared" si="9"/>
        <v>1000</v>
      </c>
      <c r="F169" s="4">
        <v>20</v>
      </c>
      <c r="G169" s="4">
        <f t="shared" si="10"/>
        <v>980</v>
      </c>
      <c r="H169" s="5">
        <f t="shared" si="11"/>
        <v>0.02</v>
      </c>
      <c r="I169" s="4">
        <v>18</v>
      </c>
      <c r="J169" s="74">
        <f t="shared" si="8"/>
        <v>54.444444444444443</v>
      </c>
      <c r="K169" s="73"/>
    </row>
    <row r="170" spans="1:11">
      <c r="B170" s="4">
        <v>6</v>
      </c>
      <c r="C170" s="4">
        <v>1100</v>
      </c>
      <c r="D170" s="4">
        <v>1100</v>
      </c>
      <c r="E170" s="4">
        <f t="shared" si="9"/>
        <v>2200</v>
      </c>
      <c r="F170" s="4">
        <v>125</v>
      </c>
      <c r="G170" s="4">
        <f t="shared" si="10"/>
        <v>2075</v>
      </c>
      <c r="H170" s="5">
        <f t="shared" si="11"/>
        <v>5.6818181818181816E-2</v>
      </c>
      <c r="I170" s="4">
        <v>38</v>
      </c>
      <c r="J170" s="74">
        <f t="shared" si="8"/>
        <v>54.60526315789474</v>
      </c>
      <c r="K170" s="73"/>
    </row>
    <row r="171" spans="1:11">
      <c r="A171" s="2">
        <v>45837</v>
      </c>
      <c r="B171" s="4">
        <v>1</v>
      </c>
      <c r="C171" s="4">
        <v>1300</v>
      </c>
      <c r="D171" s="4">
        <v>1300</v>
      </c>
      <c r="E171" s="4">
        <f t="shared" si="9"/>
        <v>2600</v>
      </c>
      <c r="F171" s="4">
        <v>35</v>
      </c>
      <c r="G171" s="4">
        <f t="shared" si="10"/>
        <v>2565</v>
      </c>
      <c r="H171" s="5">
        <f t="shared" si="11"/>
        <v>1.3461538461538462E-2</v>
      </c>
      <c r="I171" s="4">
        <v>53</v>
      </c>
      <c r="J171" s="74">
        <f t="shared" si="8"/>
        <v>48.39622641509434</v>
      </c>
      <c r="K171" s="73"/>
    </row>
    <row r="172" spans="1:11">
      <c r="B172" s="15">
        <v>2</v>
      </c>
      <c r="C172" s="4">
        <v>0</v>
      </c>
      <c r="D172" s="4">
        <v>0</v>
      </c>
      <c r="E172" s="4">
        <f t="shared" si="9"/>
        <v>0</v>
      </c>
      <c r="F172" s="4">
        <v>0</v>
      </c>
      <c r="G172" s="4">
        <f t="shared" si="10"/>
        <v>0</v>
      </c>
      <c r="H172" s="5" t="e">
        <f t="shared" si="11"/>
        <v>#DIV/0!</v>
      </c>
      <c r="I172" s="4">
        <v>0</v>
      </c>
      <c r="J172" s="74" t="e">
        <f t="shared" si="8"/>
        <v>#DIV/0!</v>
      </c>
      <c r="K172" s="73"/>
    </row>
    <row r="173" spans="1:11">
      <c r="B173" s="4">
        <v>3</v>
      </c>
      <c r="C173" s="4">
        <v>600</v>
      </c>
      <c r="D173" s="4">
        <v>600</v>
      </c>
      <c r="E173" s="4">
        <f t="shared" si="9"/>
        <v>1200</v>
      </c>
      <c r="F173" s="4">
        <v>20</v>
      </c>
      <c r="G173" s="4">
        <f t="shared" si="10"/>
        <v>1180</v>
      </c>
      <c r="H173" s="5">
        <f t="shared" si="11"/>
        <v>1.6666666666666666E-2</v>
      </c>
      <c r="I173" s="4">
        <v>21</v>
      </c>
      <c r="J173" s="74">
        <f t="shared" si="8"/>
        <v>56.19047619047619</v>
      </c>
      <c r="K173" s="73"/>
    </row>
    <row r="174" spans="1:11">
      <c r="B174" s="15">
        <v>4</v>
      </c>
      <c r="C174" s="4">
        <v>700</v>
      </c>
      <c r="D174" s="4">
        <v>700</v>
      </c>
      <c r="E174" s="4">
        <f t="shared" si="9"/>
        <v>1400</v>
      </c>
      <c r="F174" s="4">
        <v>65</v>
      </c>
      <c r="G174" s="4">
        <f t="shared" si="10"/>
        <v>1335</v>
      </c>
      <c r="H174" s="5">
        <f t="shared" si="11"/>
        <v>4.642857142857143E-2</v>
      </c>
      <c r="I174" s="4">
        <v>30</v>
      </c>
      <c r="J174" s="74">
        <f t="shared" si="8"/>
        <v>44.5</v>
      </c>
      <c r="K174" s="73"/>
    </row>
    <row r="175" spans="1:11">
      <c r="B175" s="15">
        <v>5</v>
      </c>
      <c r="C175" s="4">
        <v>500</v>
      </c>
      <c r="D175" s="4">
        <v>500</v>
      </c>
      <c r="E175" s="4">
        <f t="shared" si="9"/>
        <v>1000</v>
      </c>
      <c r="F175" s="4">
        <v>50</v>
      </c>
      <c r="G175" s="4">
        <f t="shared" si="10"/>
        <v>950</v>
      </c>
      <c r="H175" s="5">
        <f t="shared" si="11"/>
        <v>0.05</v>
      </c>
      <c r="I175" s="4">
        <v>18</v>
      </c>
      <c r="J175" s="74">
        <f t="shared" si="8"/>
        <v>52.777777777777779</v>
      </c>
      <c r="K175" s="73"/>
    </row>
    <row r="176" spans="1:11">
      <c r="B176" s="4">
        <v>6</v>
      </c>
      <c r="C176" s="4">
        <v>1100</v>
      </c>
      <c r="D176" s="4">
        <v>1100</v>
      </c>
      <c r="E176" s="4">
        <f t="shared" si="9"/>
        <v>2200</v>
      </c>
      <c r="F176" s="4">
        <v>160</v>
      </c>
      <c r="G176" s="4">
        <f t="shared" si="10"/>
        <v>2040</v>
      </c>
      <c r="H176" s="5">
        <f t="shared" si="11"/>
        <v>7.2727272727272724E-2</v>
      </c>
      <c r="I176" s="4">
        <v>38</v>
      </c>
      <c r="J176" s="74">
        <f t="shared" si="8"/>
        <v>53.684210526315788</v>
      </c>
      <c r="K176" s="73"/>
    </row>
    <row r="177" spans="1:11">
      <c r="A177" s="2">
        <v>45838</v>
      </c>
      <c r="B177" s="4">
        <v>1</v>
      </c>
      <c r="C177" s="4">
        <v>1350</v>
      </c>
      <c r="D177" s="4">
        <v>1300</v>
      </c>
      <c r="E177" s="4">
        <f t="shared" si="9"/>
        <v>2650</v>
      </c>
      <c r="G177" s="4">
        <f t="shared" si="10"/>
        <v>2650</v>
      </c>
      <c r="H177" s="5">
        <f t="shared" si="11"/>
        <v>0</v>
      </c>
      <c r="I177" s="4">
        <v>53</v>
      </c>
      <c r="J177" s="74">
        <f t="shared" si="8"/>
        <v>50</v>
      </c>
      <c r="K177" s="73"/>
    </row>
    <row r="178" spans="1:11">
      <c r="B178" s="15">
        <v>2</v>
      </c>
      <c r="C178" s="4">
        <v>0</v>
      </c>
      <c r="D178" s="4">
        <v>0</v>
      </c>
      <c r="E178" s="4">
        <f t="shared" si="9"/>
        <v>0</v>
      </c>
      <c r="G178" s="4">
        <f t="shared" si="10"/>
        <v>0</v>
      </c>
      <c r="H178" s="5" t="e">
        <f t="shared" si="11"/>
        <v>#DIV/0!</v>
      </c>
      <c r="I178" s="4">
        <v>0</v>
      </c>
      <c r="J178" s="74" t="e">
        <f t="shared" si="8"/>
        <v>#DIV/0!</v>
      </c>
      <c r="K178" s="73"/>
    </row>
    <row r="179" spans="1:11">
      <c r="B179" s="4">
        <v>3</v>
      </c>
      <c r="C179" s="4">
        <v>650</v>
      </c>
      <c r="D179" s="4">
        <v>650</v>
      </c>
      <c r="E179" s="4">
        <f t="shared" si="9"/>
        <v>1300</v>
      </c>
      <c r="G179" s="4">
        <f t="shared" si="10"/>
        <v>1300</v>
      </c>
      <c r="H179" s="5">
        <f t="shared" si="11"/>
        <v>0</v>
      </c>
      <c r="I179" s="4">
        <v>21</v>
      </c>
      <c r="J179" s="74">
        <f t="shared" si="8"/>
        <v>61.904761904761905</v>
      </c>
      <c r="K179" s="73"/>
    </row>
    <row r="180" spans="1:11">
      <c r="B180" s="15">
        <v>4</v>
      </c>
      <c r="C180" s="4">
        <v>700</v>
      </c>
      <c r="D180" s="4">
        <v>700</v>
      </c>
      <c r="E180" s="4">
        <f t="shared" si="9"/>
        <v>1400</v>
      </c>
      <c r="G180" s="4">
        <f t="shared" si="10"/>
        <v>1400</v>
      </c>
      <c r="H180" s="5">
        <f t="shared" si="11"/>
        <v>0</v>
      </c>
      <c r="I180" s="4">
        <v>30</v>
      </c>
      <c r="J180" s="74">
        <f t="shared" si="8"/>
        <v>46.666666666666664</v>
      </c>
      <c r="K180" s="73"/>
    </row>
    <row r="181" spans="1:11">
      <c r="B181" s="15">
        <v>5</v>
      </c>
      <c r="C181" s="4">
        <v>450</v>
      </c>
      <c r="D181" s="4">
        <v>450</v>
      </c>
      <c r="E181" s="4">
        <f t="shared" si="9"/>
        <v>900</v>
      </c>
      <c r="G181" s="4">
        <f t="shared" si="10"/>
        <v>900</v>
      </c>
      <c r="H181" s="5">
        <f t="shared" si="11"/>
        <v>0</v>
      </c>
      <c r="I181" s="4">
        <v>18</v>
      </c>
      <c r="J181" s="74">
        <f t="shared" si="8"/>
        <v>50</v>
      </c>
      <c r="K181" s="73"/>
    </row>
    <row r="182" spans="1:11">
      <c r="B182" s="4">
        <v>6</v>
      </c>
      <c r="C182" s="4">
        <v>900</v>
      </c>
      <c r="E182" s="4">
        <f t="shared" si="9"/>
        <v>900</v>
      </c>
      <c r="G182" s="4">
        <f>$E182-F182</f>
        <v>900</v>
      </c>
      <c r="H182" s="5">
        <f t="shared" si="11"/>
        <v>0</v>
      </c>
      <c r="I182" s="4">
        <v>38</v>
      </c>
      <c r="J182" s="74">
        <f t="shared" si="8"/>
        <v>23.684210526315791</v>
      </c>
      <c r="K182" s="73"/>
    </row>
  </sheetData>
  <autoFilter ref="A2:H182" xr:uid="{BBFCD8A0-35EC-43C0-ACDA-B424FFB6DF98}"/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EA30-5EDE-4F5B-87B7-E542C5760E07}">
  <dimension ref="A2:Q191"/>
  <sheetViews>
    <sheetView workbookViewId="0">
      <pane ySplit="4" topLeftCell="A5" activePane="bottomLeft" state="frozen"/>
      <selection pane="bottomLeft" activeCell="H6" sqref="H6"/>
    </sheetView>
  </sheetViews>
  <sheetFormatPr baseColWidth="10" defaultRowHeight="14"/>
  <cols>
    <col min="17" max="17" width="14" customWidth="1"/>
  </cols>
  <sheetData>
    <row r="2" spans="1:17">
      <c r="B2" s="98" t="s">
        <v>48</v>
      </c>
      <c r="C2" s="98"/>
      <c r="D2" s="98"/>
      <c r="E2" s="98"/>
      <c r="F2" s="98"/>
      <c r="G2" s="98"/>
      <c r="H2" s="98"/>
      <c r="I2" s="98"/>
    </row>
    <row r="3" spans="1:17" ht="14.5" thickBot="1"/>
    <row r="4" spans="1:17" ht="42.5" thickBot="1">
      <c r="A4" s="68" t="s">
        <v>0</v>
      </c>
      <c r="B4" s="69" t="s">
        <v>1</v>
      </c>
      <c r="C4" s="69" t="s">
        <v>2</v>
      </c>
      <c r="D4" s="69" t="s">
        <v>3</v>
      </c>
      <c r="E4" s="69" t="s">
        <v>5</v>
      </c>
      <c r="F4" s="71" t="s">
        <v>4</v>
      </c>
      <c r="G4" s="69" t="s">
        <v>7</v>
      </c>
      <c r="H4" s="70" t="s">
        <v>8</v>
      </c>
      <c r="I4" s="69" t="s">
        <v>44</v>
      </c>
      <c r="J4" s="79" t="s">
        <v>42</v>
      </c>
      <c r="K4" s="72" t="s">
        <v>45</v>
      </c>
      <c r="O4" t="s">
        <v>49</v>
      </c>
      <c r="P4" t="s">
        <v>50</v>
      </c>
      <c r="Q4" t="s">
        <v>51</v>
      </c>
    </row>
    <row r="5" spans="1:17">
      <c r="A5" s="2">
        <v>45839</v>
      </c>
      <c r="B5" s="4">
        <v>1</v>
      </c>
      <c r="C5" s="4">
        <v>1300</v>
      </c>
      <c r="D5" s="4">
        <v>1300</v>
      </c>
      <c r="E5" s="4">
        <f>$C5+D5</f>
        <v>2600</v>
      </c>
      <c r="F5" s="4">
        <v>35</v>
      </c>
      <c r="G5" s="4">
        <f>$E5-F5</f>
        <v>2565</v>
      </c>
      <c r="H5" s="5">
        <f>F5/E5</f>
        <v>1.3461538461538462E-2</v>
      </c>
      <c r="I5" s="4">
        <v>53</v>
      </c>
      <c r="J5" s="77">
        <f>$G5/I5</f>
        <v>48.39622641509434</v>
      </c>
      <c r="K5" s="78"/>
    </row>
    <row r="6" spans="1:17">
      <c r="B6" s="15">
        <v>2</v>
      </c>
      <c r="C6" s="4">
        <v>0</v>
      </c>
      <c r="D6" s="4">
        <v>0</v>
      </c>
      <c r="E6" s="4">
        <f t="shared" ref="E6:E10" si="0">$C6+D6</f>
        <v>0</v>
      </c>
      <c r="F6" s="4">
        <v>0</v>
      </c>
      <c r="G6" s="4">
        <f t="shared" ref="G6:G10" si="1">$E6-F6</f>
        <v>0</v>
      </c>
      <c r="H6" s="5"/>
      <c r="I6" s="4">
        <v>0</v>
      </c>
      <c r="J6" s="74"/>
      <c r="K6" s="74">
        <f>AVERAGE(J5:J6)</f>
        <v>48.39622641509434</v>
      </c>
    </row>
    <row r="7" spans="1:17">
      <c r="B7" s="4">
        <v>3</v>
      </c>
      <c r="C7" s="4">
        <v>500</v>
      </c>
      <c r="D7" s="4">
        <v>500</v>
      </c>
      <c r="E7" s="4">
        <f t="shared" si="0"/>
        <v>1000</v>
      </c>
      <c r="F7" s="4">
        <v>10</v>
      </c>
      <c r="G7" s="4">
        <f t="shared" si="1"/>
        <v>990</v>
      </c>
      <c r="H7" s="5">
        <f t="shared" ref="H7:H10" si="2">F7/E7</f>
        <v>0.01</v>
      </c>
      <c r="I7" s="4">
        <v>21</v>
      </c>
      <c r="J7" s="74">
        <f t="shared" ref="J7:J10" si="3">$G7/I7</f>
        <v>47.142857142857146</v>
      </c>
      <c r="K7" s="74">
        <f>AVERAGE(J7:J8)</f>
        <v>48.571428571428569</v>
      </c>
    </row>
    <row r="8" spans="1:17">
      <c r="B8" s="15">
        <v>4</v>
      </c>
      <c r="C8" s="4">
        <v>800</v>
      </c>
      <c r="D8" s="4">
        <v>800</v>
      </c>
      <c r="E8" s="4">
        <f t="shared" si="0"/>
        <v>1600</v>
      </c>
      <c r="F8" s="4">
        <v>100</v>
      </c>
      <c r="G8" s="4">
        <f t="shared" si="1"/>
        <v>1500</v>
      </c>
      <c r="H8" s="5">
        <f t="shared" si="2"/>
        <v>6.25E-2</v>
      </c>
      <c r="I8" s="4">
        <v>30</v>
      </c>
      <c r="J8" s="74">
        <f t="shared" si="3"/>
        <v>50</v>
      </c>
      <c r="K8" s="74"/>
    </row>
    <row r="9" spans="1:17">
      <c r="B9" s="15">
        <v>5</v>
      </c>
      <c r="C9" s="4">
        <v>500</v>
      </c>
      <c r="D9" s="4">
        <v>500</v>
      </c>
      <c r="E9" s="4">
        <f t="shared" si="0"/>
        <v>1000</v>
      </c>
      <c r="F9" s="4">
        <v>90</v>
      </c>
      <c r="G9" s="4">
        <f t="shared" si="1"/>
        <v>910</v>
      </c>
      <c r="H9" s="5">
        <f t="shared" si="2"/>
        <v>0.09</v>
      </c>
      <c r="I9" s="4">
        <v>18</v>
      </c>
      <c r="J9" s="74">
        <f t="shared" si="3"/>
        <v>50.555555555555557</v>
      </c>
      <c r="K9" s="74">
        <f>AVERAGE(J9:J10)</f>
        <v>47.383040935672511</v>
      </c>
    </row>
    <row r="10" spans="1:17">
      <c r="B10" s="4">
        <v>6</v>
      </c>
      <c r="C10" s="4">
        <v>900</v>
      </c>
      <c r="D10" s="4">
        <v>900</v>
      </c>
      <c r="E10" s="4">
        <f t="shared" si="0"/>
        <v>1800</v>
      </c>
      <c r="F10" s="4">
        <v>120</v>
      </c>
      <c r="G10" s="4">
        <f t="shared" si="1"/>
        <v>1680</v>
      </c>
      <c r="H10" s="5">
        <f t="shared" si="2"/>
        <v>6.6666666666666666E-2</v>
      </c>
      <c r="I10" s="4">
        <v>38</v>
      </c>
      <c r="J10" s="74">
        <f t="shared" si="3"/>
        <v>44.210526315789473</v>
      </c>
      <c r="K10" s="73"/>
    </row>
    <row r="11" spans="1:17">
      <c r="A11" s="2">
        <v>45840</v>
      </c>
      <c r="B11" s="4">
        <v>1</v>
      </c>
      <c r="C11" s="4">
        <v>1300</v>
      </c>
      <c r="D11" s="4">
        <v>1300</v>
      </c>
      <c r="E11" s="4">
        <f>$C11+D11</f>
        <v>2600</v>
      </c>
      <c r="F11" s="4">
        <v>0</v>
      </c>
      <c r="G11" s="4">
        <f>$E11-F11</f>
        <v>2600</v>
      </c>
      <c r="H11" s="5">
        <f>F11/E11</f>
        <v>0</v>
      </c>
      <c r="I11" s="4">
        <v>53</v>
      </c>
      <c r="J11" s="77">
        <f>$G11/I11</f>
        <v>49.056603773584904</v>
      </c>
      <c r="K11" s="78"/>
    </row>
    <row r="12" spans="1:17">
      <c r="B12" s="15">
        <v>2</v>
      </c>
      <c r="C12" s="4">
        <v>0</v>
      </c>
      <c r="D12" s="4">
        <v>0</v>
      </c>
      <c r="E12" s="4">
        <f t="shared" ref="E12:E16" si="4">$C12+D12</f>
        <v>0</v>
      </c>
      <c r="F12" s="4">
        <v>0</v>
      </c>
      <c r="G12" s="4">
        <f t="shared" ref="G12:G16" si="5">$E12-F12</f>
        <v>0</v>
      </c>
      <c r="H12" s="5"/>
      <c r="I12" s="4">
        <v>0</v>
      </c>
      <c r="J12" s="74"/>
      <c r="K12" s="74">
        <f>AVERAGE(J11:J12)</f>
        <v>49.056603773584904</v>
      </c>
    </row>
    <row r="13" spans="1:17">
      <c r="B13" s="4">
        <v>3</v>
      </c>
      <c r="C13" s="4">
        <v>500</v>
      </c>
      <c r="D13" s="4">
        <v>500</v>
      </c>
      <c r="E13" s="4">
        <f t="shared" si="4"/>
        <v>1000</v>
      </c>
      <c r="F13" s="4">
        <v>0</v>
      </c>
      <c r="G13" s="4">
        <f t="shared" si="5"/>
        <v>1000</v>
      </c>
      <c r="H13" s="5">
        <f t="shared" ref="H13:H76" si="6">F13/E13</f>
        <v>0</v>
      </c>
      <c r="I13" s="4">
        <v>21</v>
      </c>
      <c r="J13" s="74">
        <f t="shared" ref="J13:J16" si="7">$G13/I13</f>
        <v>47.61904761904762</v>
      </c>
      <c r="K13" s="74">
        <f>AVERAGE(J13:J14)</f>
        <v>49.976190476190482</v>
      </c>
    </row>
    <row r="14" spans="1:17">
      <c r="B14" s="15">
        <v>4</v>
      </c>
      <c r="C14" s="4">
        <v>800</v>
      </c>
      <c r="D14" s="4">
        <v>800</v>
      </c>
      <c r="E14" s="4">
        <f t="shared" si="4"/>
        <v>1600</v>
      </c>
      <c r="F14" s="4">
        <v>30</v>
      </c>
      <c r="G14" s="4">
        <f t="shared" si="5"/>
        <v>1570</v>
      </c>
      <c r="H14" s="5">
        <f t="shared" si="6"/>
        <v>1.8749999999999999E-2</v>
      </c>
      <c r="I14" s="4">
        <v>30</v>
      </c>
      <c r="J14" s="74">
        <f t="shared" si="7"/>
        <v>52.333333333333336</v>
      </c>
      <c r="K14" s="74"/>
    </row>
    <row r="15" spans="1:17">
      <c r="B15" s="15">
        <v>5</v>
      </c>
      <c r="C15" s="4">
        <v>500</v>
      </c>
      <c r="D15" s="4">
        <v>500</v>
      </c>
      <c r="E15" s="4">
        <f t="shared" si="4"/>
        <v>1000</v>
      </c>
      <c r="F15" s="4">
        <v>15</v>
      </c>
      <c r="G15" s="4">
        <f t="shared" si="5"/>
        <v>985</v>
      </c>
      <c r="H15" s="5">
        <f t="shared" si="6"/>
        <v>1.4999999999999999E-2</v>
      </c>
      <c r="I15" s="4">
        <v>18</v>
      </c>
      <c r="J15" s="74">
        <f t="shared" si="7"/>
        <v>54.722222222222221</v>
      </c>
      <c r="K15" s="74">
        <f>AVERAGE(J15:J16)</f>
        <v>50.387426900584799</v>
      </c>
    </row>
    <row r="16" spans="1:17">
      <c r="B16" s="4">
        <v>6</v>
      </c>
      <c r="C16" s="4">
        <v>900</v>
      </c>
      <c r="D16" s="4">
        <v>900</v>
      </c>
      <c r="E16" s="4">
        <f t="shared" si="4"/>
        <v>1800</v>
      </c>
      <c r="F16" s="4">
        <v>50</v>
      </c>
      <c r="G16" s="4">
        <f t="shared" si="5"/>
        <v>1750</v>
      </c>
      <c r="H16" s="5">
        <f t="shared" si="6"/>
        <v>2.7777777777777776E-2</v>
      </c>
      <c r="I16" s="4">
        <v>38</v>
      </c>
      <c r="J16" s="74">
        <f t="shared" si="7"/>
        <v>46.05263157894737</v>
      </c>
      <c r="K16" s="73"/>
    </row>
    <row r="17" spans="1:11">
      <c r="A17" s="2">
        <v>45841</v>
      </c>
      <c r="B17" s="4">
        <v>1</v>
      </c>
      <c r="C17" s="4">
        <v>1300</v>
      </c>
      <c r="D17" s="4">
        <v>1250</v>
      </c>
      <c r="E17" s="4">
        <f>$C17+D17</f>
        <v>2550</v>
      </c>
      <c r="F17" s="4">
        <v>0</v>
      </c>
      <c r="G17" s="4">
        <f>$E17-F17</f>
        <v>2550</v>
      </c>
      <c r="H17" s="5">
        <f t="shared" si="6"/>
        <v>0</v>
      </c>
      <c r="I17" s="4">
        <v>53</v>
      </c>
      <c r="J17" s="77">
        <f>$G17/I17</f>
        <v>48.113207547169814</v>
      </c>
      <c r="K17" s="78"/>
    </row>
    <row r="18" spans="1:11">
      <c r="B18" s="15">
        <v>2</v>
      </c>
      <c r="C18" s="4">
        <v>0</v>
      </c>
      <c r="D18" s="4">
        <v>0</v>
      </c>
      <c r="E18" s="4">
        <f t="shared" ref="E18:E22" si="8">$C18+D18</f>
        <v>0</v>
      </c>
      <c r="F18" s="4">
        <v>0</v>
      </c>
      <c r="G18" s="4">
        <f t="shared" ref="G18:G22" si="9">$E18-F18</f>
        <v>0</v>
      </c>
      <c r="H18" s="5" t="e">
        <f t="shared" si="6"/>
        <v>#DIV/0!</v>
      </c>
      <c r="I18" s="4">
        <v>0</v>
      </c>
      <c r="J18" s="74"/>
      <c r="K18" s="74">
        <f>AVERAGE(J17:J18)</f>
        <v>48.113207547169814</v>
      </c>
    </row>
    <row r="19" spans="1:11">
      <c r="B19" s="4">
        <v>3</v>
      </c>
      <c r="C19" s="4">
        <v>500</v>
      </c>
      <c r="D19" s="4">
        <v>500</v>
      </c>
      <c r="E19" s="4">
        <f t="shared" si="8"/>
        <v>1000</v>
      </c>
      <c r="F19" s="4">
        <v>10</v>
      </c>
      <c r="G19" s="4">
        <f t="shared" si="9"/>
        <v>990</v>
      </c>
      <c r="H19" s="5">
        <f t="shared" si="6"/>
        <v>0.01</v>
      </c>
      <c r="I19" s="4">
        <v>21</v>
      </c>
      <c r="J19" s="74">
        <f t="shared" ref="J19:J22" si="10">$G19/I19</f>
        <v>47.142857142857146</v>
      </c>
      <c r="K19" s="74">
        <f>AVERAGE(J19:J20)</f>
        <v>50.571428571428569</v>
      </c>
    </row>
    <row r="20" spans="1:11">
      <c r="B20" s="15">
        <v>4</v>
      </c>
      <c r="C20" s="4">
        <v>800</v>
      </c>
      <c r="D20" s="4">
        <v>900</v>
      </c>
      <c r="E20" s="4">
        <f t="shared" si="8"/>
        <v>1700</v>
      </c>
      <c r="F20" s="4">
        <v>80</v>
      </c>
      <c r="G20" s="4">
        <f t="shared" si="9"/>
        <v>1620</v>
      </c>
      <c r="H20" s="5">
        <f t="shared" si="6"/>
        <v>4.7058823529411764E-2</v>
      </c>
      <c r="I20" s="4">
        <v>30</v>
      </c>
      <c r="J20" s="74">
        <f t="shared" si="10"/>
        <v>54</v>
      </c>
      <c r="K20" s="74"/>
    </row>
    <row r="21" spans="1:11">
      <c r="B21" s="15">
        <v>5</v>
      </c>
      <c r="C21" s="4">
        <v>500</v>
      </c>
      <c r="D21" s="4">
        <v>500</v>
      </c>
      <c r="E21" s="4">
        <f t="shared" si="8"/>
        <v>1000</v>
      </c>
      <c r="F21" s="4">
        <v>20</v>
      </c>
      <c r="G21" s="4">
        <f t="shared" si="9"/>
        <v>980</v>
      </c>
      <c r="H21" s="5">
        <f t="shared" si="6"/>
        <v>0.02</v>
      </c>
      <c r="I21" s="4">
        <v>18</v>
      </c>
      <c r="J21" s="74">
        <f t="shared" si="10"/>
        <v>54.444444444444443</v>
      </c>
      <c r="K21" s="74">
        <f>AVERAGE(J21:J22)</f>
        <v>49.590643274853804</v>
      </c>
    </row>
    <row r="22" spans="1:11">
      <c r="B22" s="4">
        <v>6</v>
      </c>
      <c r="C22" s="4">
        <v>900</v>
      </c>
      <c r="D22" s="4">
        <v>900</v>
      </c>
      <c r="E22" s="4">
        <f t="shared" si="8"/>
        <v>1800</v>
      </c>
      <c r="F22" s="4">
        <v>100</v>
      </c>
      <c r="G22" s="4">
        <f t="shared" si="9"/>
        <v>1700</v>
      </c>
      <c r="H22" s="5">
        <f t="shared" si="6"/>
        <v>5.5555555555555552E-2</v>
      </c>
      <c r="I22" s="4">
        <v>38</v>
      </c>
      <c r="J22" s="74">
        <f t="shared" si="10"/>
        <v>44.736842105263158</v>
      </c>
      <c r="K22" s="73"/>
    </row>
    <row r="23" spans="1:11">
      <c r="A23" s="2">
        <v>45842</v>
      </c>
      <c r="B23" s="4">
        <v>1</v>
      </c>
      <c r="C23" s="4">
        <v>1300</v>
      </c>
      <c r="D23" s="4">
        <v>1200</v>
      </c>
      <c r="E23" s="4">
        <f>$C23+D23</f>
        <v>2500</v>
      </c>
      <c r="F23" s="4">
        <v>0</v>
      </c>
      <c r="G23" s="4">
        <f>$E23-F23</f>
        <v>2500</v>
      </c>
      <c r="H23" s="5">
        <f t="shared" si="6"/>
        <v>0</v>
      </c>
      <c r="I23" s="4">
        <v>53</v>
      </c>
      <c r="J23" s="77">
        <f>$G23/I23</f>
        <v>47.169811320754718</v>
      </c>
      <c r="K23" s="78"/>
    </row>
    <row r="24" spans="1:11">
      <c r="B24" s="15">
        <v>2</v>
      </c>
      <c r="C24" s="4">
        <v>0</v>
      </c>
      <c r="D24" s="4">
        <v>0</v>
      </c>
      <c r="E24" s="4">
        <f t="shared" ref="E24:E28" si="11">$C24+D24</f>
        <v>0</v>
      </c>
      <c r="F24" s="4">
        <v>0</v>
      </c>
      <c r="G24" s="4">
        <f t="shared" ref="G24:G28" si="12">$E24-F24</f>
        <v>0</v>
      </c>
      <c r="H24" s="5" t="e">
        <f t="shared" si="6"/>
        <v>#DIV/0!</v>
      </c>
      <c r="I24" s="4">
        <v>0</v>
      </c>
      <c r="J24" s="74"/>
      <c r="K24" s="74">
        <f>AVERAGE(J23:J24)</f>
        <v>47.169811320754718</v>
      </c>
    </row>
    <row r="25" spans="1:11">
      <c r="B25" s="4">
        <v>3</v>
      </c>
      <c r="C25" s="4">
        <v>500</v>
      </c>
      <c r="D25" s="4">
        <v>500</v>
      </c>
      <c r="E25" s="4">
        <f t="shared" si="11"/>
        <v>1000</v>
      </c>
      <c r="F25" s="4">
        <v>0</v>
      </c>
      <c r="G25" s="4">
        <f t="shared" si="12"/>
        <v>1000</v>
      </c>
      <c r="H25" s="5">
        <f t="shared" si="6"/>
        <v>0</v>
      </c>
      <c r="I25" s="4">
        <v>21</v>
      </c>
      <c r="J25" s="74">
        <f t="shared" ref="J25:J28" si="13">$G25/I25</f>
        <v>47.61904761904762</v>
      </c>
      <c r="K25" s="74">
        <f>AVERAGE(J25:J26)</f>
        <v>52.142857142857139</v>
      </c>
    </row>
    <row r="26" spans="1:11">
      <c r="B26" s="15">
        <v>4</v>
      </c>
      <c r="C26" s="4">
        <v>900</v>
      </c>
      <c r="D26" s="4">
        <v>800</v>
      </c>
      <c r="E26" s="4">
        <f t="shared" si="11"/>
        <v>1700</v>
      </c>
      <c r="F26" s="4">
        <v>0</v>
      </c>
      <c r="G26" s="4">
        <f t="shared" si="12"/>
        <v>1700</v>
      </c>
      <c r="H26" s="5">
        <f t="shared" si="6"/>
        <v>0</v>
      </c>
      <c r="I26" s="4">
        <v>30</v>
      </c>
      <c r="J26" s="74">
        <f t="shared" si="13"/>
        <v>56.666666666666664</v>
      </c>
      <c r="K26" s="74"/>
    </row>
    <row r="27" spans="1:11">
      <c r="B27" s="15">
        <v>5</v>
      </c>
      <c r="C27" s="4">
        <v>500</v>
      </c>
      <c r="D27" s="4">
        <v>500</v>
      </c>
      <c r="E27" s="4">
        <f t="shared" si="11"/>
        <v>1000</v>
      </c>
      <c r="F27" s="4">
        <v>0</v>
      </c>
      <c r="G27" s="4">
        <f t="shared" si="12"/>
        <v>1000</v>
      </c>
      <c r="H27" s="5">
        <f t="shared" si="6"/>
        <v>0</v>
      </c>
      <c r="I27" s="4">
        <v>18</v>
      </c>
      <c r="J27" s="74">
        <f t="shared" si="13"/>
        <v>55.555555555555557</v>
      </c>
      <c r="K27" s="74">
        <f>AVERAGE(J27:J28)</f>
        <v>51.461988304093566</v>
      </c>
    </row>
    <row r="28" spans="1:11">
      <c r="B28" s="4">
        <v>6</v>
      </c>
      <c r="C28" s="4">
        <v>900</v>
      </c>
      <c r="D28" s="4">
        <v>900</v>
      </c>
      <c r="E28" s="4">
        <f t="shared" si="11"/>
        <v>1800</v>
      </c>
      <c r="F28" s="4">
        <v>0</v>
      </c>
      <c r="G28" s="4">
        <f t="shared" si="12"/>
        <v>1800</v>
      </c>
      <c r="H28" s="5">
        <f t="shared" si="6"/>
        <v>0</v>
      </c>
      <c r="I28" s="4">
        <v>38</v>
      </c>
      <c r="J28" s="74">
        <f t="shared" si="13"/>
        <v>47.368421052631582</v>
      </c>
      <c r="K28" s="73"/>
    </row>
    <row r="29" spans="1:11">
      <c r="A29" s="2">
        <v>45843</v>
      </c>
      <c r="B29" s="4">
        <v>1</v>
      </c>
      <c r="C29" s="4">
        <v>1350</v>
      </c>
      <c r="D29" s="4">
        <v>1500</v>
      </c>
      <c r="E29" s="4">
        <f>$C29+D29</f>
        <v>2850</v>
      </c>
      <c r="F29" s="4">
        <v>0</v>
      </c>
      <c r="G29" s="4">
        <f>$E29-F29</f>
        <v>2850</v>
      </c>
      <c r="H29" s="5">
        <f t="shared" si="6"/>
        <v>0</v>
      </c>
      <c r="I29" s="4">
        <v>53</v>
      </c>
      <c r="J29" s="77">
        <f>$G29/I29</f>
        <v>53.773584905660378</v>
      </c>
      <c r="K29" s="78"/>
    </row>
    <row r="30" spans="1:11">
      <c r="B30" s="15">
        <v>2</v>
      </c>
      <c r="C30" s="4">
        <v>0</v>
      </c>
      <c r="D30" s="4">
        <v>0</v>
      </c>
      <c r="E30" s="4">
        <f t="shared" ref="E30:E34" si="14">$C30+D30</f>
        <v>0</v>
      </c>
      <c r="F30" s="4">
        <v>0</v>
      </c>
      <c r="G30" s="4">
        <f t="shared" ref="G30:G34" si="15">$E30-F30</f>
        <v>0</v>
      </c>
      <c r="H30" s="5" t="e">
        <f t="shared" si="6"/>
        <v>#DIV/0!</v>
      </c>
      <c r="I30" s="4">
        <v>0</v>
      </c>
      <c r="J30" s="74"/>
      <c r="K30" s="74">
        <f>AVERAGE(J29:J30)</f>
        <v>53.773584905660378</v>
      </c>
    </row>
    <row r="31" spans="1:11">
      <c r="B31" s="4">
        <v>3</v>
      </c>
      <c r="C31" s="4">
        <v>600</v>
      </c>
      <c r="D31" s="4">
        <v>600</v>
      </c>
      <c r="E31" s="4">
        <f t="shared" si="14"/>
        <v>1200</v>
      </c>
      <c r="F31" s="4">
        <v>0</v>
      </c>
      <c r="G31" s="4">
        <f t="shared" si="15"/>
        <v>1200</v>
      </c>
      <c r="H31" s="5">
        <f t="shared" si="6"/>
        <v>0</v>
      </c>
      <c r="I31" s="4">
        <v>21</v>
      </c>
      <c r="J31" s="74">
        <f t="shared" ref="J31:J34" si="16">$G31/I31</f>
        <v>57.142857142857146</v>
      </c>
      <c r="K31" s="74">
        <f>AVERAGE(J31:J32)</f>
        <v>58.571428571428569</v>
      </c>
    </row>
    <row r="32" spans="1:11">
      <c r="B32" s="15">
        <v>4</v>
      </c>
      <c r="C32" s="4">
        <v>900</v>
      </c>
      <c r="D32" s="4">
        <v>900</v>
      </c>
      <c r="E32" s="4">
        <f t="shared" si="14"/>
        <v>1800</v>
      </c>
      <c r="F32" s="4">
        <v>0</v>
      </c>
      <c r="G32" s="4">
        <f t="shared" si="15"/>
        <v>1800</v>
      </c>
      <c r="H32" s="5">
        <f t="shared" si="6"/>
        <v>0</v>
      </c>
      <c r="I32" s="4">
        <v>30</v>
      </c>
      <c r="J32" s="74">
        <f t="shared" si="16"/>
        <v>60</v>
      </c>
      <c r="K32" s="74"/>
    </row>
    <row r="33" spans="1:11">
      <c r="B33" s="15">
        <v>5</v>
      </c>
      <c r="C33" s="4">
        <v>600</v>
      </c>
      <c r="D33" s="4">
        <v>600</v>
      </c>
      <c r="E33" s="4">
        <f t="shared" si="14"/>
        <v>1200</v>
      </c>
      <c r="F33" s="4">
        <v>35</v>
      </c>
      <c r="G33" s="4">
        <f t="shared" si="15"/>
        <v>1165</v>
      </c>
      <c r="H33" s="5">
        <f t="shared" si="6"/>
        <v>2.9166666666666667E-2</v>
      </c>
      <c r="I33" s="4">
        <v>18</v>
      </c>
      <c r="J33" s="74">
        <f t="shared" si="16"/>
        <v>64.722222222222229</v>
      </c>
      <c r="K33" s="74">
        <f>AVERAGE(J33:J34)</f>
        <v>54.729532163742689</v>
      </c>
    </row>
    <row r="34" spans="1:11">
      <c r="B34" s="4">
        <v>6</v>
      </c>
      <c r="C34" s="4">
        <v>900</v>
      </c>
      <c r="D34" s="4">
        <v>900</v>
      </c>
      <c r="E34" s="4">
        <f t="shared" si="14"/>
        <v>1800</v>
      </c>
      <c r="F34" s="4">
        <v>100</v>
      </c>
      <c r="G34" s="4">
        <f t="shared" si="15"/>
        <v>1700</v>
      </c>
      <c r="H34" s="5">
        <f t="shared" si="6"/>
        <v>5.5555555555555552E-2</v>
      </c>
      <c r="I34" s="4">
        <v>38</v>
      </c>
      <c r="J34" s="74">
        <f t="shared" si="16"/>
        <v>44.736842105263158</v>
      </c>
      <c r="K34" s="73"/>
    </row>
    <row r="35" spans="1:11">
      <c r="A35" s="2">
        <v>45844</v>
      </c>
      <c r="B35" s="4">
        <v>1</v>
      </c>
      <c r="C35" s="4">
        <v>1500</v>
      </c>
      <c r="D35" s="4">
        <v>1500</v>
      </c>
      <c r="E35" s="4">
        <f>$C35+D35</f>
        <v>3000</v>
      </c>
      <c r="F35" s="4">
        <v>300</v>
      </c>
      <c r="G35" s="4">
        <f>$E35-F35</f>
        <v>2700</v>
      </c>
      <c r="H35" s="5">
        <f t="shared" si="6"/>
        <v>0.1</v>
      </c>
      <c r="I35" s="4">
        <v>53</v>
      </c>
      <c r="J35" s="77">
        <f>$G35/I35</f>
        <v>50.943396226415096</v>
      </c>
      <c r="K35" s="78"/>
    </row>
    <row r="36" spans="1:11">
      <c r="B36" s="15">
        <v>2</v>
      </c>
      <c r="C36" s="4">
        <v>0</v>
      </c>
      <c r="D36" s="4">
        <v>0</v>
      </c>
      <c r="E36" s="4">
        <f t="shared" ref="E36:E40" si="17">$C36+D36</f>
        <v>0</v>
      </c>
      <c r="F36" s="4">
        <v>0</v>
      </c>
      <c r="G36" s="4">
        <f t="shared" ref="G36:G40" si="18">$E36-F36</f>
        <v>0</v>
      </c>
      <c r="H36" s="5" t="e">
        <f t="shared" si="6"/>
        <v>#DIV/0!</v>
      </c>
      <c r="I36" s="4">
        <v>0</v>
      </c>
      <c r="J36" s="74"/>
      <c r="K36" s="74">
        <f>AVERAGE(J35:J36)</f>
        <v>50.943396226415096</v>
      </c>
    </row>
    <row r="37" spans="1:11">
      <c r="B37" s="4">
        <v>3</v>
      </c>
      <c r="C37" s="4">
        <v>500</v>
      </c>
      <c r="D37" s="4">
        <v>600</v>
      </c>
      <c r="E37" s="4">
        <f t="shared" si="17"/>
        <v>1100</v>
      </c>
      <c r="F37" s="4">
        <v>25</v>
      </c>
      <c r="G37" s="4">
        <f t="shared" si="18"/>
        <v>1075</v>
      </c>
      <c r="H37" s="5">
        <f t="shared" si="6"/>
        <v>2.2727272727272728E-2</v>
      </c>
      <c r="I37" s="4">
        <v>21</v>
      </c>
      <c r="J37" s="74">
        <f t="shared" ref="J37:J40" si="19">$G37/I37</f>
        <v>51.19047619047619</v>
      </c>
      <c r="K37" s="74">
        <f>AVERAGE(J37:J38)</f>
        <v>54.261904761904759</v>
      </c>
    </row>
    <row r="38" spans="1:11">
      <c r="B38" s="15">
        <v>4</v>
      </c>
      <c r="C38" s="4">
        <v>900</v>
      </c>
      <c r="D38" s="4">
        <v>900</v>
      </c>
      <c r="E38" s="4">
        <f t="shared" si="17"/>
        <v>1800</v>
      </c>
      <c r="F38" s="4">
        <v>80</v>
      </c>
      <c r="G38" s="4">
        <f t="shared" si="18"/>
        <v>1720</v>
      </c>
      <c r="H38" s="5">
        <f t="shared" si="6"/>
        <v>4.4444444444444446E-2</v>
      </c>
      <c r="I38" s="4">
        <v>30</v>
      </c>
      <c r="J38" s="74">
        <f t="shared" si="19"/>
        <v>57.333333333333336</v>
      </c>
      <c r="K38" s="74"/>
    </row>
    <row r="39" spans="1:11">
      <c r="B39" s="15">
        <v>5</v>
      </c>
      <c r="C39" s="4">
        <v>500</v>
      </c>
      <c r="D39" s="4">
        <v>600</v>
      </c>
      <c r="E39" s="4">
        <f t="shared" si="17"/>
        <v>1100</v>
      </c>
      <c r="F39" s="4">
        <v>10</v>
      </c>
      <c r="G39" s="4">
        <f t="shared" si="18"/>
        <v>1090</v>
      </c>
      <c r="H39" s="5">
        <f t="shared" si="6"/>
        <v>9.0909090909090905E-3</v>
      </c>
      <c r="I39" s="4">
        <v>18</v>
      </c>
      <c r="J39" s="74">
        <f t="shared" si="19"/>
        <v>60.555555555555557</v>
      </c>
      <c r="K39" s="74">
        <f>AVERAGE(J39:J40)</f>
        <v>51.988304093567251</v>
      </c>
    </row>
    <row r="40" spans="1:11">
      <c r="B40" s="4">
        <v>6</v>
      </c>
      <c r="C40" s="4">
        <v>900</v>
      </c>
      <c r="D40" s="4">
        <v>900</v>
      </c>
      <c r="E40" s="4">
        <f t="shared" si="17"/>
        <v>1800</v>
      </c>
      <c r="F40" s="4">
        <v>150</v>
      </c>
      <c r="G40" s="4">
        <f t="shared" si="18"/>
        <v>1650</v>
      </c>
      <c r="H40" s="5">
        <f t="shared" si="6"/>
        <v>8.3333333333333329E-2</v>
      </c>
      <c r="I40" s="4">
        <v>38</v>
      </c>
      <c r="J40" s="74">
        <f t="shared" si="19"/>
        <v>43.421052631578945</v>
      </c>
      <c r="K40" s="73"/>
    </row>
    <row r="41" spans="1:11">
      <c r="A41" s="2">
        <v>45845</v>
      </c>
      <c r="B41" s="4">
        <v>1</v>
      </c>
      <c r="C41" s="4">
        <v>1300</v>
      </c>
      <c r="D41" s="4">
        <v>1500</v>
      </c>
      <c r="E41" s="4">
        <f>$C41+D41</f>
        <v>2800</v>
      </c>
      <c r="F41" s="4">
        <v>150</v>
      </c>
      <c r="G41" s="4">
        <f>$E41-F41</f>
        <v>2650</v>
      </c>
      <c r="H41" s="5">
        <f t="shared" si="6"/>
        <v>5.3571428571428568E-2</v>
      </c>
      <c r="I41" s="4">
        <v>53</v>
      </c>
      <c r="J41" s="77">
        <f>$G41/I41</f>
        <v>50</v>
      </c>
      <c r="K41" s="78"/>
    </row>
    <row r="42" spans="1:11">
      <c r="B42" s="15">
        <v>2</v>
      </c>
      <c r="C42" s="4">
        <v>0</v>
      </c>
      <c r="D42" s="4">
        <v>0</v>
      </c>
      <c r="E42" s="4">
        <f t="shared" ref="E42:E46" si="20">$C42+D42</f>
        <v>0</v>
      </c>
      <c r="F42" s="4">
        <v>0</v>
      </c>
      <c r="G42" s="4">
        <f t="shared" ref="G42:G46" si="21">$E42-F42</f>
        <v>0</v>
      </c>
      <c r="H42" s="5" t="e">
        <f t="shared" si="6"/>
        <v>#DIV/0!</v>
      </c>
      <c r="I42" s="4">
        <v>0</v>
      </c>
      <c r="J42" s="74"/>
      <c r="K42" s="74">
        <f>AVERAGE(J41:J42)</f>
        <v>50</v>
      </c>
    </row>
    <row r="43" spans="1:11">
      <c r="B43" s="4">
        <v>3</v>
      </c>
      <c r="C43" s="4">
        <v>600</v>
      </c>
      <c r="D43" s="4">
        <v>600</v>
      </c>
      <c r="E43" s="4">
        <f t="shared" si="20"/>
        <v>1200</v>
      </c>
      <c r="F43" s="4">
        <v>80</v>
      </c>
      <c r="G43" s="4">
        <f t="shared" si="21"/>
        <v>1120</v>
      </c>
      <c r="H43" s="5">
        <f t="shared" si="6"/>
        <v>6.6666666666666666E-2</v>
      </c>
      <c r="I43" s="4">
        <v>21</v>
      </c>
      <c r="J43" s="74">
        <f t="shared" ref="J43:J46" si="22">$G43/I43</f>
        <v>53.333333333333336</v>
      </c>
      <c r="K43" s="74">
        <f>AVERAGE(J43:J44)</f>
        <v>54.666666666666671</v>
      </c>
    </row>
    <row r="44" spans="1:11">
      <c r="B44" s="15">
        <v>4</v>
      </c>
      <c r="C44" s="4">
        <v>900</v>
      </c>
      <c r="D44" s="4">
        <v>900</v>
      </c>
      <c r="E44" s="4">
        <f t="shared" si="20"/>
        <v>1800</v>
      </c>
      <c r="F44" s="4">
        <v>120</v>
      </c>
      <c r="G44" s="4">
        <f t="shared" si="21"/>
        <v>1680</v>
      </c>
      <c r="H44" s="5">
        <f t="shared" si="6"/>
        <v>6.6666666666666666E-2</v>
      </c>
      <c r="I44" s="4">
        <v>30</v>
      </c>
      <c r="J44" s="74">
        <f t="shared" si="22"/>
        <v>56</v>
      </c>
      <c r="K44" s="74"/>
    </row>
    <row r="45" spans="1:11">
      <c r="B45" s="15">
        <v>5</v>
      </c>
      <c r="C45" s="4">
        <v>500</v>
      </c>
      <c r="D45" s="4">
        <v>500</v>
      </c>
      <c r="E45" s="4">
        <f t="shared" si="20"/>
        <v>1000</v>
      </c>
      <c r="F45" s="4">
        <v>50</v>
      </c>
      <c r="G45" s="4">
        <f t="shared" si="21"/>
        <v>950</v>
      </c>
      <c r="H45" s="5">
        <f t="shared" si="6"/>
        <v>0.05</v>
      </c>
      <c r="I45" s="4">
        <v>18</v>
      </c>
      <c r="J45" s="74">
        <f t="shared" si="22"/>
        <v>52.777777777777779</v>
      </c>
      <c r="K45" s="74">
        <f>AVERAGE(J45:J46)</f>
        <v>40.862573099415201</v>
      </c>
    </row>
    <row r="46" spans="1:11">
      <c r="B46" s="4">
        <v>6</v>
      </c>
      <c r="C46" s="4">
        <v>400</v>
      </c>
      <c r="D46" s="4">
        <v>900</v>
      </c>
      <c r="E46" s="4">
        <f t="shared" si="20"/>
        <v>1300</v>
      </c>
      <c r="F46" s="4">
        <v>200</v>
      </c>
      <c r="G46" s="4">
        <f t="shared" si="21"/>
        <v>1100</v>
      </c>
      <c r="H46" s="5">
        <f t="shared" si="6"/>
        <v>0.15384615384615385</v>
      </c>
      <c r="I46" s="4">
        <v>38</v>
      </c>
      <c r="J46" s="74">
        <f t="shared" si="22"/>
        <v>28.94736842105263</v>
      </c>
      <c r="K46" s="73"/>
    </row>
    <row r="47" spans="1:11">
      <c r="A47" s="2">
        <v>45846</v>
      </c>
      <c r="B47" s="4">
        <v>1</v>
      </c>
      <c r="C47" s="4">
        <v>1400</v>
      </c>
      <c r="D47" s="4">
        <v>750</v>
      </c>
      <c r="E47" s="4">
        <f>$C47+D47</f>
        <v>2150</v>
      </c>
      <c r="F47" s="4">
        <v>35</v>
      </c>
      <c r="G47" s="4">
        <f>$E47-F47</f>
        <v>2115</v>
      </c>
      <c r="H47" s="5">
        <f t="shared" si="6"/>
        <v>1.627906976744186E-2</v>
      </c>
      <c r="I47" s="4">
        <v>50</v>
      </c>
      <c r="J47" s="77">
        <f>$G47/I47</f>
        <v>42.3</v>
      </c>
      <c r="K47" s="78"/>
    </row>
    <row r="48" spans="1:11">
      <c r="B48" s="15">
        <v>2</v>
      </c>
      <c r="C48" s="4">
        <v>0</v>
      </c>
      <c r="D48" s="4">
        <v>0</v>
      </c>
      <c r="E48" s="4">
        <f t="shared" ref="E48:E52" si="23">$C48+D48</f>
        <v>0</v>
      </c>
      <c r="F48" s="4">
        <v>0</v>
      </c>
      <c r="G48" s="4">
        <f t="shared" ref="G48:G50" si="24">$E48-F48</f>
        <v>0</v>
      </c>
      <c r="H48" s="5" t="e">
        <f t="shared" si="6"/>
        <v>#DIV/0!</v>
      </c>
      <c r="I48" s="4"/>
      <c r="J48" s="77" t="e">
        <f>$G48/I48</f>
        <v>#DIV/0!</v>
      </c>
      <c r="K48" s="74" t="e">
        <f>AVERAGE(J47:J48)</f>
        <v>#DIV/0!</v>
      </c>
    </row>
    <row r="49" spans="1:11">
      <c r="B49" s="4">
        <v>3</v>
      </c>
      <c r="C49" s="4">
        <v>600</v>
      </c>
      <c r="D49" s="4">
        <v>500</v>
      </c>
      <c r="E49" s="4">
        <f t="shared" si="23"/>
        <v>1100</v>
      </c>
      <c r="F49" s="4">
        <v>30</v>
      </c>
      <c r="G49" s="4">
        <f t="shared" si="24"/>
        <v>1070</v>
      </c>
      <c r="H49" s="5">
        <f t="shared" si="6"/>
        <v>2.7272727272727271E-2</v>
      </c>
      <c r="I49" s="4">
        <v>21</v>
      </c>
      <c r="J49" s="74">
        <f t="shared" ref="J49:J52" si="25">$G49/I49</f>
        <v>50.952380952380949</v>
      </c>
      <c r="K49" s="74">
        <f>AVERAGE(J49:J50)</f>
        <v>51.05952380952381</v>
      </c>
    </row>
    <row r="50" spans="1:11">
      <c r="B50" s="15">
        <v>4</v>
      </c>
      <c r="C50" s="4">
        <v>900</v>
      </c>
      <c r="D50" s="4">
        <v>700</v>
      </c>
      <c r="E50" s="4">
        <f t="shared" si="23"/>
        <v>1600</v>
      </c>
      <c r="F50" s="4">
        <v>65</v>
      </c>
      <c r="G50" s="4">
        <f t="shared" si="24"/>
        <v>1535</v>
      </c>
      <c r="H50" s="5">
        <f t="shared" si="6"/>
        <v>4.0625000000000001E-2</v>
      </c>
      <c r="I50" s="4">
        <v>30</v>
      </c>
      <c r="J50" s="74">
        <f t="shared" si="25"/>
        <v>51.166666666666664</v>
      </c>
      <c r="K50" s="74"/>
    </row>
    <row r="51" spans="1:11">
      <c r="B51" s="15">
        <v>5</v>
      </c>
      <c r="C51" s="4">
        <v>600</v>
      </c>
      <c r="D51" s="4">
        <v>400</v>
      </c>
      <c r="E51" s="4">
        <f t="shared" si="23"/>
        <v>1000</v>
      </c>
      <c r="F51" s="4">
        <v>20</v>
      </c>
      <c r="G51" s="4">
        <f>$E51-F51</f>
        <v>980</v>
      </c>
      <c r="H51" s="5">
        <f t="shared" si="6"/>
        <v>0.02</v>
      </c>
      <c r="I51" s="4">
        <v>18</v>
      </c>
      <c r="J51" s="74">
        <f t="shared" si="25"/>
        <v>54.444444444444443</v>
      </c>
      <c r="K51" s="74">
        <f>AVERAGE(J51:J52)</f>
        <v>50.150793650793645</v>
      </c>
    </row>
    <row r="52" spans="1:11">
      <c r="B52" s="4">
        <v>6</v>
      </c>
      <c r="C52" s="4">
        <v>800</v>
      </c>
      <c r="D52" s="4">
        <v>850</v>
      </c>
      <c r="E52" s="4">
        <f t="shared" si="23"/>
        <v>1650</v>
      </c>
      <c r="F52" s="4">
        <v>45</v>
      </c>
      <c r="G52" s="4">
        <f>$E52-F52</f>
        <v>1605</v>
      </c>
      <c r="H52" s="5">
        <f t="shared" si="6"/>
        <v>2.7272727272727271E-2</v>
      </c>
      <c r="I52" s="4">
        <v>35</v>
      </c>
      <c r="J52" s="74">
        <f t="shared" si="25"/>
        <v>45.857142857142854</v>
      </c>
      <c r="K52" s="73"/>
    </row>
    <row r="53" spans="1:11">
      <c r="A53" s="2">
        <v>45847</v>
      </c>
      <c r="B53" s="4">
        <v>1</v>
      </c>
      <c r="C53" s="4">
        <v>1200</v>
      </c>
      <c r="D53" s="4">
        <v>1300</v>
      </c>
      <c r="E53" s="4">
        <f>$C53+D53</f>
        <v>2500</v>
      </c>
      <c r="F53" s="4">
        <v>115</v>
      </c>
      <c r="G53" s="4">
        <f>$E53-F53</f>
        <v>2385</v>
      </c>
      <c r="H53" s="5">
        <f t="shared" si="6"/>
        <v>4.5999999999999999E-2</v>
      </c>
      <c r="I53" s="4">
        <v>50</v>
      </c>
      <c r="J53" s="77">
        <f>$G53/I53</f>
        <v>47.7</v>
      </c>
      <c r="K53" s="78"/>
    </row>
    <row r="54" spans="1:11">
      <c r="B54" s="15">
        <v>2</v>
      </c>
      <c r="C54" s="4">
        <v>0</v>
      </c>
      <c r="D54" s="4">
        <v>0</v>
      </c>
      <c r="E54" s="4">
        <f t="shared" ref="E54:E58" si="26">$C54+D54</f>
        <v>0</v>
      </c>
      <c r="F54" s="4">
        <v>0</v>
      </c>
      <c r="G54" s="4">
        <f t="shared" ref="G54:G117" si="27">$E54-F54</f>
        <v>0</v>
      </c>
      <c r="H54" s="5" t="e">
        <f t="shared" si="6"/>
        <v>#DIV/0!</v>
      </c>
      <c r="I54" s="4"/>
      <c r="J54" s="74"/>
      <c r="K54" s="74">
        <f>AVERAGE(J53:J54)</f>
        <v>47.7</v>
      </c>
    </row>
    <row r="55" spans="1:11">
      <c r="B55" s="4">
        <v>3</v>
      </c>
      <c r="C55" s="4">
        <v>550</v>
      </c>
      <c r="D55" s="4">
        <v>550</v>
      </c>
      <c r="E55" s="4">
        <f t="shared" si="26"/>
        <v>1100</v>
      </c>
      <c r="F55" s="4">
        <v>30</v>
      </c>
      <c r="G55" s="4">
        <f t="shared" si="27"/>
        <v>1070</v>
      </c>
      <c r="H55" s="5">
        <f t="shared" si="6"/>
        <v>2.7272727272727271E-2</v>
      </c>
      <c r="I55" s="4">
        <v>21</v>
      </c>
      <c r="J55" s="74">
        <f t="shared" ref="J55:J58" si="28">$G55/I55</f>
        <v>50.952380952380949</v>
      </c>
      <c r="K55" s="74">
        <f>AVERAGE(J55:J56)</f>
        <v>48.392857142857139</v>
      </c>
    </row>
    <row r="56" spans="1:11">
      <c r="B56" s="15">
        <v>4</v>
      </c>
      <c r="C56" s="4">
        <v>750</v>
      </c>
      <c r="D56" s="4">
        <v>700</v>
      </c>
      <c r="E56" s="4">
        <f t="shared" si="26"/>
        <v>1450</v>
      </c>
      <c r="F56" s="4">
        <v>75</v>
      </c>
      <c r="G56" s="4">
        <f t="shared" si="27"/>
        <v>1375</v>
      </c>
      <c r="H56" s="5">
        <f t="shared" si="6"/>
        <v>5.1724137931034482E-2</v>
      </c>
      <c r="I56" s="4">
        <v>30</v>
      </c>
      <c r="J56" s="74">
        <f t="shared" si="28"/>
        <v>45.833333333333336</v>
      </c>
      <c r="K56" s="74"/>
    </row>
    <row r="57" spans="1:11">
      <c r="B57" s="15">
        <v>5</v>
      </c>
      <c r="C57" s="4">
        <v>500</v>
      </c>
      <c r="D57" s="4">
        <v>500</v>
      </c>
      <c r="E57" s="4">
        <f t="shared" si="26"/>
        <v>1000</v>
      </c>
      <c r="F57" s="4">
        <v>50</v>
      </c>
      <c r="G57" s="4">
        <f t="shared" si="27"/>
        <v>950</v>
      </c>
      <c r="H57" s="5">
        <f t="shared" si="6"/>
        <v>0.05</v>
      </c>
      <c r="I57" s="4">
        <v>18</v>
      </c>
      <c r="J57" s="74">
        <f t="shared" si="28"/>
        <v>52.777777777777779</v>
      </c>
      <c r="K57" s="74">
        <f>AVERAGE(J57:J58)</f>
        <v>50.388888888888886</v>
      </c>
    </row>
    <row r="58" spans="1:11">
      <c r="B58" s="4">
        <v>6</v>
      </c>
      <c r="C58" s="4">
        <v>900</v>
      </c>
      <c r="D58" s="4">
        <v>900</v>
      </c>
      <c r="E58" s="4">
        <f t="shared" si="26"/>
        <v>1800</v>
      </c>
      <c r="F58" s="4">
        <v>120</v>
      </c>
      <c r="G58" s="4">
        <f t="shared" si="27"/>
        <v>1680</v>
      </c>
      <c r="H58" s="5">
        <f t="shared" si="6"/>
        <v>6.6666666666666666E-2</v>
      </c>
      <c r="I58" s="4">
        <v>35</v>
      </c>
      <c r="J58" s="74">
        <f t="shared" si="28"/>
        <v>48</v>
      </c>
      <c r="K58" s="73"/>
    </row>
    <row r="59" spans="1:11">
      <c r="A59" s="2">
        <v>45848</v>
      </c>
      <c r="B59" s="4">
        <v>1</v>
      </c>
      <c r="C59" s="4">
        <v>1200</v>
      </c>
      <c r="D59" s="4">
        <v>1200</v>
      </c>
      <c r="E59" s="4">
        <f>$C59+D59</f>
        <v>2400</v>
      </c>
      <c r="F59" s="4">
        <v>145</v>
      </c>
      <c r="G59" s="4">
        <f t="shared" si="27"/>
        <v>2255</v>
      </c>
      <c r="H59" s="5">
        <f t="shared" si="6"/>
        <v>6.0416666666666667E-2</v>
      </c>
      <c r="I59" s="4">
        <v>50</v>
      </c>
      <c r="J59" s="77">
        <f>$G59/I59</f>
        <v>45.1</v>
      </c>
      <c r="K59" s="78"/>
    </row>
    <row r="60" spans="1:11">
      <c r="B60" s="15">
        <v>2</v>
      </c>
      <c r="C60" s="4">
        <v>0</v>
      </c>
      <c r="D60" s="4">
        <v>0</v>
      </c>
      <c r="E60" s="4">
        <f t="shared" ref="E60:E64" si="29">$C60+D60</f>
        <v>0</v>
      </c>
      <c r="F60" s="4">
        <v>0</v>
      </c>
      <c r="G60" s="4">
        <f t="shared" si="27"/>
        <v>0</v>
      </c>
      <c r="H60" s="5" t="e">
        <f t="shared" si="6"/>
        <v>#DIV/0!</v>
      </c>
      <c r="I60" s="4">
        <v>0</v>
      </c>
      <c r="J60" s="74"/>
      <c r="K60" s="74">
        <f>AVERAGE(J59:J60)</f>
        <v>45.1</v>
      </c>
    </row>
    <row r="61" spans="1:11">
      <c r="B61" s="4">
        <v>3</v>
      </c>
      <c r="C61" s="4">
        <v>500</v>
      </c>
      <c r="D61" s="4">
        <v>500</v>
      </c>
      <c r="E61" s="4">
        <f t="shared" si="29"/>
        <v>1000</v>
      </c>
      <c r="F61" s="4">
        <v>45</v>
      </c>
      <c r="G61" s="4">
        <f t="shared" si="27"/>
        <v>955</v>
      </c>
      <c r="H61" s="5">
        <f t="shared" si="6"/>
        <v>4.4999999999999998E-2</v>
      </c>
      <c r="I61" s="4">
        <v>21</v>
      </c>
      <c r="J61" s="74">
        <f t="shared" ref="J61:J64" si="30">$G61/I61</f>
        <v>45.476190476190474</v>
      </c>
      <c r="K61" s="74">
        <f>AVERAGE(J61:J62)</f>
        <v>45.238095238095241</v>
      </c>
    </row>
    <row r="62" spans="1:11">
      <c r="B62" s="15">
        <v>4</v>
      </c>
      <c r="C62" s="4">
        <v>720</v>
      </c>
      <c r="D62" s="4">
        <v>720</v>
      </c>
      <c r="E62" s="4">
        <f t="shared" si="29"/>
        <v>1440</v>
      </c>
      <c r="F62" s="4">
        <v>90</v>
      </c>
      <c r="G62" s="4">
        <f t="shared" si="27"/>
        <v>1350</v>
      </c>
      <c r="H62" s="5">
        <f t="shared" si="6"/>
        <v>6.25E-2</v>
      </c>
      <c r="I62" s="4">
        <v>30</v>
      </c>
      <c r="J62" s="74">
        <f t="shared" si="30"/>
        <v>45</v>
      </c>
      <c r="K62" s="74"/>
    </row>
    <row r="63" spans="1:11">
      <c r="B63" s="15">
        <v>5</v>
      </c>
      <c r="C63" s="4">
        <v>430</v>
      </c>
      <c r="D63" s="4">
        <v>430</v>
      </c>
      <c r="E63" s="4">
        <f t="shared" si="29"/>
        <v>860</v>
      </c>
      <c r="F63" s="4">
        <v>75</v>
      </c>
      <c r="G63" s="4">
        <f t="shared" si="27"/>
        <v>785</v>
      </c>
      <c r="H63" s="5">
        <f t="shared" si="6"/>
        <v>8.7209302325581398E-2</v>
      </c>
      <c r="I63" s="4">
        <v>18</v>
      </c>
      <c r="J63" s="74">
        <f t="shared" si="30"/>
        <v>43.611111111111114</v>
      </c>
      <c r="K63" s="74">
        <f>AVERAGE(J63:J64)</f>
        <v>44.019841269841272</v>
      </c>
    </row>
    <row r="64" spans="1:11">
      <c r="B64" s="4">
        <v>6</v>
      </c>
      <c r="C64" s="4">
        <v>840</v>
      </c>
      <c r="D64" s="4">
        <v>840</v>
      </c>
      <c r="E64" s="4">
        <f t="shared" si="29"/>
        <v>1680</v>
      </c>
      <c r="F64" s="4">
        <v>125</v>
      </c>
      <c r="G64" s="4">
        <f t="shared" si="27"/>
        <v>1555</v>
      </c>
      <c r="H64" s="5">
        <f t="shared" si="6"/>
        <v>7.4404761904761904E-2</v>
      </c>
      <c r="I64" s="4">
        <v>35</v>
      </c>
      <c r="J64" s="74">
        <f t="shared" si="30"/>
        <v>44.428571428571431</v>
      </c>
      <c r="K64" s="73"/>
    </row>
    <row r="65" spans="1:11">
      <c r="A65" s="2">
        <v>45849</v>
      </c>
      <c r="B65" s="4">
        <v>1</v>
      </c>
      <c r="C65" s="4">
        <v>1100</v>
      </c>
      <c r="D65" s="4">
        <v>1100</v>
      </c>
      <c r="E65" s="4">
        <f>$C65+D65</f>
        <v>2200</v>
      </c>
      <c r="F65" s="4">
        <v>60</v>
      </c>
      <c r="G65" s="4">
        <f t="shared" si="27"/>
        <v>2140</v>
      </c>
      <c r="H65" s="5">
        <f t="shared" si="6"/>
        <v>2.7272727272727271E-2</v>
      </c>
      <c r="I65" s="4">
        <v>50</v>
      </c>
      <c r="J65" s="77">
        <f>$G65/I65</f>
        <v>42.8</v>
      </c>
      <c r="K65" s="78"/>
    </row>
    <row r="66" spans="1:11">
      <c r="B66" s="15">
        <v>2</v>
      </c>
      <c r="C66" s="4">
        <v>0</v>
      </c>
      <c r="D66" s="4">
        <v>0</v>
      </c>
      <c r="E66" s="4">
        <f t="shared" ref="E66:E129" si="31">$C66+D66</f>
        <v>0</v>
      </c>
      <c r="F66" s="4">
        <v>0</v>
      </c>
      <c r="G66" s="4">
        <f t="shared" si="27"/>
        <v>0</v>
      </c>
      <c r="H66" s="5" t="e">
        <f t="shared" si="6"/>
        <v>#DIV/0!</v>
      </c>
      <c r="I66" s="4">
        <v>0</v>
      </c>
      <c r="J66" s="74"/>
      <c r="K66" s="74">
        <f>AVERAGE(J65:J66)</f>
        <v>42.8</v>
      </c>
    </row>
    <row r="67" spans="1:11">
      <c r="B67" s="4">
        <v>3</v>
      </c>
      <c r="C67" s="4">
        <v>500</v>
      </c>
      <c r="D67" s="4">
        <v>500</v>
      </c>
      <c r="E67" s="4">
        <f t="shared" si="31"/>
        <v>1000</v>
      </c>
      <c r="F67" s="4">
        <v>95</v>
      </c>
      <c r="G67" s="4">
        <f t="shared" si="27"/>
        <v>905</v>
      </c>
      <c r="H67" s="5">
        <f t="shared" si="6"/>
        <v>9.5000000000000001E-2</v>
      </c>
      <c r="I67" s="4">
        <v>21</v>
      </c>
      <c r="J67" s="74">
        <f t="shared" ref="J67:J130" si="32">$G67/I67</f>
        <v>43.095238095238095</v>
      </c>
      <c r="K67" s="74">
        <f>AVERAGE(J67:J68)</f>
        <v>40.964285714285715</v>
      </c>
    </row>
    <row r="68" spans="1:11">
      <c r="B68" s="15">
        <v>4</v>
      </c>
      <c r="C68" s="4">
        <v>700</v>
      </c>
      <c r="D68" s="4">
        <v>700</v>
      </c>
      <c r="E68" s="4">
        <f t="shared" si="31"/>
        <v>1400</v>
      </c>
      <c r="F68" s="4">
        <v>235</v>
      </c>
      <c r="G68" s="4">
        <f t="shared" si="27"/>
        <v>1165</v>
      </c>
      <c r="H68" s="5">
        <f t="shared" si="6"/>
        <v>0.16785714285714284</v>
      </c>
      <c r="I68" s="4">
        <v>30</v>
      </c>
      <c r="J68" s="74">
        <f t="shared" si="32"/>
        <v>38.833333333333336</v>
      </c>
      <c r="K68" s="74"/>
    </row>
    <row r="69" spans="1:11">
      <c r="B69" s="15">
        <v>5</v>
      </c>
      <c r="C69" s="4">
        <v>500</v>
      </c>
      <c r="D69" s="4">
        <v>500</v>
      </c>
      <c r="E69" s="4">
        <f t="shared" si="31"/>
        <v>1000</v>
      </c>
      <c r="F69" s="4">
        <v>110</v>
      </c>
      <c r="G69" s="4">
        <f t="shared" si="27"/>
        <v>890</v>
      </c>
      <c r="H69" s="5">
        <f t="shared" si="6"/>
        <v>0.11</v>
      </c>
      <c r="I69" s="4">
        <v>18</v>
      </c>
      <c r="J69" s="74">
        <f t="shared" si="32"/>
        <v>49.444444444444443</v>
      </c>
      <c r="K69" s="74">
        <f>AVERAGE(J69:J70)</f>
        <v>44.365079365079367</v>
      </c>
    </row>
    <row r="70" spans="1:11">
      <c r="B70" s="4">
        <v>6</v>
      </c>
      <c r="C70" s="4">
        <v>800</v>
      </c>
      <c r="D70" s="4">
        <v>800</v>
      </c>
      <c r="E70" s="4">
        <f t="shared" si="31"/>
        <v>1600</v>
      </c>
      <c r="F70" s="4">
        <v>225</v>
      </c>
      <c r="G70" s="4">
        <f t="shared" si="27"/>
        <v>1375</v>
      </c>
      <c r="H70" s="5">
        <f t="shared" si="6"/>
        <v>0.140625</v>
      </c>
      <c r="I70" s="4">
        <v>35</v>
      </c>
      <c r="J70" s="74">
        <f t="shared" si="32"/>
        <v>39.285714285714285</v>
      </c>
      <c r="K70" s="73"/>
    </row>
    <row r="71" spans="1:11">
      <c r="A71" s="2">
        <v>45850</v>
      </c>
      <c r="B71" s="4">
        <v>1</v>
      </c>
      <c r="C71" s="4">
        <v>1100</v>
      </c>
      <c r="D71" s="4">
        <v>1000</v>
      </c>
      <c r="E71" s="4">
        <f t="shared" si="31"/>
        <v>2100</v>
      </c>
      <c r="F71" s="4">
        <v>85</v>
      </c>
      <c r="G71" s="4">
        <f t="shared" si="27"/>
        <v>2015</v>
      </c>
      <c r="H71" s="5">
        <f t="shared" si="6"/>
        <v>4.0476190476190478E-2</v>
      </c>
      <c r="I71" s="4">
        <v>50</v>
      </c>
      <c r="J71" s="74">
        <f t="shared" si="32"/>
        <v>40.299999999999997</v>
      </c>
    </row>
    <row r="72" spans="1:11">
      <c r="B72" s="15">
        <v>2</v>
      </c>
      <c r="C72" s="4">
        <v>0</v>
      </c>
      <c r="D72" s="4">
        <v>0</v>
      </c>
      <c r="E72" s="4">
        <f t="shared" si="31"/>
        <v>0</v>
      </c>
      <c r="F72" s="4">
        <v>0</v>
      </c>
      <c r="G72" s="4">
        <f t="shared" si="27"/>
        <v>0</v>
      </c>
      <c r="H72" s="5" t="e">
        <f t="shared" si="6"/>
        <v>#DIV/0!</v>
      </c>
      <c r="I72" s="4">
        <v>0</v>
      </c>
      <c r="J72" s="74" t="e">
        <f t="shared" si="32"/>
        <v>#DIV/0!</v>
      </c>
    </row>
    <row r="73" spans="1:11">
      <c r="B73" s="4">
        <v>3</v>
      </c>
      <c r="C73" s="4">
        <v>500</v>
      </c>
      <c r="D73" s="4">
        <v>500</v>
      </c>
      <c r="E73" s="4">
        <f t="shared" si="31"/>
        <v>1000</v>
      </c>
      <c r="F73" s="4">
        <v>60</v>
      </c>
      <c r="G73" s="4">
        <f t="shared" si="27"/>
        <v>940</v>
      </c>
      <c r="H73" s="5">
        <f t="shared" si="6"/>
        <v>0.06</v>
      </c>
      <c r="I73" s="4">
        <v>21</v>
      </c>
      <c r="J73" s="74">
        <f t="shared" si="32"/>
        <v>44.761904761904759</v>
      </c>
    </row>
    <row r="74" spans="1:11">
      <c r="B74" s="15">
        <v>4</v>
      </c>
      <c r="C74" s="4">
        <v>600</v>
      </c>
      <c r="D74" s="4">
        <v>700</v>
      </c>
      <c r="E74" s="4">
        <f t="shared" si="31"/>
        <v>1300</v>
      </c>
      <c r="F74" s="4">
        <v>170</v>
      </c>
      <c r="G74" s="4">
        <f t="shared" si="27"/>
        <v>1130</v>
      </c>
      <c r="H74" s="5">
        <f t="shared" si="6"/>
        <v>0.13076923076923078</v>
      </c>
      <c r="I74" s="4">
        <v>30</v>
      </c>
      <c r="J74" s="74">
        <f t="shared" si="32"/>
        <v>37.666666666666664</v>
      </c>
    </row>
    <row r="75" spans="1:11">
      <c r="B75" s="15">
        <v>5</v>
      </c>
      <c r="C75" s="4">
        <v>450</v>
      </c>
      <c r="D75" s="4">
        <v>500</v>
      </c>
      <c r="E75" s="4">
        <f t="shared" si="31"/>
        <v>950</v>
      </c>
      <c r="F75" s="4">
        <v>105</v>
      </c>
      <c r="G75" s="4">
        <f t="shared" si="27"/>
        <v>845</v>
      </c>
      <c r="H75" s="5">
        <f t="shared" si="6"/>
        <v>0.11052631578947368</v>
      </c>
      <c r="I75" s="4">
        <v>18</v>
      </c>
      <c r="J75" s="74">
        <f t="shared" si="32"/>
        <v>46.944444444444443</v>
      </c>
    </row>
    <row r="76" spans="1:11">
      <c r="B76" s="4">
        <v>6</v>
      </c>
      <c r="C76" s="4">
        <v>700</v>
      </c>
      <c r="D76" s="4">
        <v>800</v>
      </c>
      <c r="E76" s="4">
        <f t="shared" si="31"/>
        <v>1500</v>
      </c>
      <c r="F76" s="4">
        <v>145</v>
      </c>
      <c r="G76" s="4">
        <f t="shared" si="27"/>
        <v>1355</v>
      </c>
      <c r="H76" s="5">
        <f t="shared" si="6"/>
        <v>9.6666666666666665E-2</v>
      </c>
      <c r="I76" s="4">
        <v>35</v>
      </c>
      <c r="J76" s="74">
        <f t="shared" si="32"/>
        <v>38.714285714285715</v>
      </c>
    </row>
    <row r="77" spans="1:11">
      <c r="A77" s="2">
        <v>45851</v>
      </c>
      <c r="B77" s="4">
        <v>1</v>
      </c>
      <c r="C77" s="4">
        <v>1000</v>
      </c>
      <c r="D77" s="4">
        <v>1000</v>
      </c>
      <c r="E77" s="4">
        <f t="shared" si="31"/>
        <v>2000</v>
      </c>
      <c r="F77" s="4">
        <v>25</v>
      </c>
      <c r="G77" s="4">
        <f t="shared" si="27"/>
        <v>1975</v>
      </c>
      <c r="H77" s="5">
        <f t="shared" ref="H77:H140" si="33">F77/E77</f>
        <v>1.2500000000000001E-2</v>
      </c>
      <c r="I77" s="4">
        <v>50</v>
      </c>
      <c r="J77" s="74">
        <f t="shared" si="32"/>
        <v>39.5</v>
      </c>
    </row>
    <row r="78" spans="1:11">
      <c r="B78" s="15">
        <v>2</v>
      </c>
      <c r="C78" s="4">
        <v>0</v>
      </c>
      <c r="D78" s="4">
        <v>0</v>
      </c>
      <c r="E78" s="4">
        <f t="shared" si="31"/>
        <v>0</v>
      </c>
      <c r="F78" s="4">
        <v>0</v>
      </c>
      <c r="G78" s="4">
        <f t="shared" si="27"/>
        <v>0</v>
      </c>
      <c r="H78" s="5" t="e">
        <f t="shared" si="33"/>
        <v>#DIV/0!</v>
      </c>
      <c r="I78" s="4">
        <v>0</v>
      </c>
      <c r="J78" s="74" t="e">
        <f t="shared" si="32"/>
        <v>#DIV/0!</v>
      </c>
    </row>
    <row r="79" spans="1:11">
      <c r="B79" s="4">
        <v>3</v>
      </c>
      <c r="C79" s="4">
        <v>450</v>
      </c>
      <c r="D79" s="4">
        <v>450</v>
      </c>
      <c r="E79" s="4">
        <f t="shared" si="31"/>
        <v>900</v>
      </c>
      <c r="F79" s="4">
        <v>160</v>
      </c>
      <c r="G79" s="4">
        <f t="shared" si="27"/>
        <v>740</v>
      </c>
      <c r="H79" s="5">
        <f t="shared" si="33"/>
        <v>0.17777777777777778</v>
      </c>
      <c r="I79" s="4">
        <v>21</v>
      </c>
      <c r="J79" s="74">
        <f t="shared" si="32"/>
        <v>35.238095238095241</v>
      </c>
    </row>
    <row r="80" spans="1:11">
      <c r="B80" s="15">
        <v>4</v>
      </c>
      <c r="C80" s="4">
        <v>650</v>
      </c>
      <c r="D80" s="4">
        <v>650</v>
      </c>
      <c r="E80" s="4">
        <f t="shared" si="31"/>
        <v>1300</v>
      </c>
      <c r="F80" s="4">
        <v>245</v>
      </c>
      <c r="G80" s="4">
        <f t="shared" si="27"/>
        <v>1055</v>
      </c>
      <c r="H80" s="5">
        <f t="shared" si="33"/>
        <v>0.18846153846153846</v>
      </c>
      <c r="I80" s="4">
        <v>30</v>
      </c>
      <c r="J80" s="74">
        <f t="shared" si="32"/>
        <v>35.166666666666664</v>
      </c>
    </row>
    <row r="81" spans="1:10">
      <c r="B81" s="15">
        <v>5</v>
      </c>
      <c r="C81" s="4">
        <v>450</v>
      </c>
      <c r="D81" s="4">
        <v>450</v>
      </c>
      <c r="E81" s="4">
        <f t="shared" si="31"/>
        <v>900</v>
      </c>
      <c r="F81" s="4">
        <v>95</v>
      </c>
      <c r="G81" s="4">
        <f t="shared" si="27"/>
        <v>805</v>
      </c>
      <c r="H81" s="5">
        <f t="shared" si="33"/>
        <v>0.10555555555555556</v>
      </c>
      <c r="I81" s="4">
        <v>18</v>
      </c>
      <c r="J81" s="74">
        <f t="shared" si="32"/>
        <v>44.722222222222221</v>
      </c>
    </row>
    <row r="82" spans="1:10">
      <c r="B82" s="4">
        <v>6</v>
      </c>
      <c r="C82" s="4">
        <v>700</v>
      </c>
      <c r="D82" s="4">
        <v>700</v>
      </c>
      <c r="E82" s="4">
        <f t="shared" si="31"/>
        <v>1400</v>
      </c>
      <c r="F82" s="4">
        <v>340</v>
      </c>
      <c r="G82" s="4">
        <f t="shared" si="27"/>
        <v>1060</v>
      </c>
      <c r="H82" s="5">
        <f t="shared" si="33"/>
        <v>0.24285714285714285</v>
      </c>
      <c r="I82" s="4">
        <v>35</v>
      </c>
      <c r="J82" s="74">
        <f t="shared" si="32"/>
        <v>30.285714285714285</v>
      </c>
    </row>
    <row r="83" spans="1:10">
      <c r="A83" s="2">
        <v>45852</v>
      </c>
      <c r="B83" s="4">
        <v>1</v>
      </c>
      <c r="C83" s="4">
        <v>1100</v>
      </c>
      <c r="D83" s="4">
        <v>1200</v>
      </c>
      <c r="E83" s="4">
        <f t="shared" si="31"/>
        <v>2300</v>
      </c>
      <c r="G83" s="4">
        <f t="shared" si="27"/>
        <v>2300</v>
      </c>
      <c r="H83" s="5">
        <f t="shared" si="33"/>
        <v>0</v>
      </c>
      <c r="I83" s="4">
        <v>50</v>
      </c>
      <c r="J83" s="74">
        <f t="shared" si="32"/>
        <v>46</v>
      </c>
    </row>
    <row r="84" spans="1:10">
      <c r="B84" s="15">
        <v>2</v>
      </c>
      <c r="C84" s="4">
        <v>0</v>
      </c>
      <c r="D84" s="4">
        <v>0</v>
      </c>
      <c r="E84" s="4">
        <f t="shared" si="31"/>
        <v>0</v>
      </c>
      <c r="G84" s="4">
        <f t="shared" si="27"/>
        <v>0</v>
      </c>
      <c r="H84" s="5" t="e">
        <f t="shared" si="33"/>
        <v>#DIV/0!</v>
      </c>
      <c r="I84" s="4">
        <v>0</v>
      </c>
      <c r="J84" s="74" t="e">
        <f t="shared" si="32"/>
        <v>#DIV/0!</v>
      </c>
    </row>
    <row r="85" spans="1:10">
      <c r="B85" s="4">
        <v>3</v>
      </c>
      <c r="C85" s="4">
        <v>450</v>
      </c>
      <c r="D85" s="4">
        <v>500</v>
      </c>
      <c r="E85" s="4">
        <f t="shared" si="31"/>
        <v>950</v>
      </c>
      <c r="G85" s="4">
        <f t="shared" si="27"/>
        <v>950</v>
      </c>
      <c r="H85" s="5">
        <f t="shared" si="33"/>
        <v>0</v>
      </c>
      <c r="I85" s="4">
        <v>21</v>
      </c>
      <c r="J85" s="74">
        <f t="shared" si="32"/>
        <v>45.238095238095241</v>
      </c>
    </row>
    <row r="86" spans="1:10">
      <c r="B86" s="15">
        <v>4</v>
      </c>
      <c r="C86" s="4">
        <v>600</v>
      </c>
      <c r="D86" s="4">
        <v>750</v>
      </c>
      <c r="E86" s="4">
        <f t="shared" si="31"/>
        <v>1350</v>
      </c>
      <c r="G86" s="4">
        <f t="shared" si="27"/>
        <v>1350</v>
      </c>
      <c r="H86" s="5">
        <f t="shared" si="33"/>
        <v>0</v>
      </c>
      <c r="I86" s="4">
        <v>30</v>
      </c>
      <c r="J86" s="74">
        <f t="shared" si="32"/>
        <v>45</v>
      </c>
    </row>
    <row r="87" spans="1:10">
      <c r="B87" s="15">
        <v>5</v>
      </c>
      <c r="C87" s="4">
        <v>450</v>
      </c>
      <c r="D87" s="4">
        <v>500</v>
      </c>
      <c r="E87" s="4">
        <f t="shared" si="31"/>
        <v>950</v>
      </c>
      <c r="G87" s="4">
        <f t="shared" si="27"/>
        <v>950</v>
      </c>
      <c r="H87" s="5">
        <f t="shared" si="33"/>
        <v>0</v>
      </c>
      <c r="I87" s="4">
        <v>18</v>
      </c>
      <c r="J87" s="74">
        <f t="shared" si="32"/>
        <v>52.777777777777779</v>
      </c>
    </row>
    <row r="88" spans="1:10">
      <c r="B88" s="4">
        <v>6</v>
      </c>
      <c r="C88" s="4">
        <v>700</v>
      </c>
      <c r="D88" s="4">
        <v>900</v>
      </c>
      <c r="E88" s="4">
        <f t="shared" si="31"/>
        <v>1600</v>
      </c>
      <c r="G88" s="4">
        <f t="shared" si="27"/>
        <v>1600</v>
      </c>
      <c r="H88" s="5">
        <f t="shared" si="33"/>
        <v>0</v>
      </c>
      <c r="I88" s="4">
        <v>35</v>
      </c>
      <c r="J88" s="74">
        <f t="shared" si="32"/>
        <v>45.714285714285715</v>
      </c>
    </row>
    <row r="89" spans="1:10">
      <c r="A89" s="2">
        <v>45853</v>
      </c>
      <c r="B89" s="4">
        <v>1</v>
      </c>
      <c r="C89" s="4">
        <v>1100</v>
      </c>
      <c r="D89" s="4">
        <v>1200</v>
      </c>
      <c r="E89" s="4">
        <f t="shared" si="31"/>
        <v>2300</v>
      </c>
      <c r="F89" s="4">
        <v>85</v>
      </c>
      <c r="G89" s="4">
        <f t="shared" si="27"/>
        <v>2215</v>
      </c>
      <c r="H89" s="5">
        <f t="shared" si="33"/>
        <v>3.6956521739130437E-2</v>
      </c>
      <c r="I89" s="4">
        <v>50</v>
      </c>
      <c r="J89" s="74">
        <f t="shared" si="32"/>
        <v>44.3</v>
      </c>
    </row>
    <row r="90" spans="1:10">
      <c r="B90" s="15">
        <v>2</v>
      </c>
      <c r="C90" s="4">
        <v>0</v>
      </c>
      <c r="D90" s="4">
        <v>0</v>
      </c>
      <c r="E90" s="4">
        <f t="shared" si="31"/>
        <v>0</v>
      </c>
      <c r="F90" s="4">
        <v>0</v>
      </c>
      <c r="G90" s="4">
        <f t="shared" si="27"/>
        <v>0</v>
      </c>
      <c r="H90" s="5" t="e">
        <f t="shared" si="33"/>
        <v>#DIV/0!</v>
      </c>
      <c r="I90" s="4">
        <v>0</v>
      </c>
      <c r="J90" s="74" t="e">
        <f t="shared" si="32"/>
        <v>#DIV/0!</v>
      </c>
    </row>
    <row r="91" spans="1:10">
      <c r="B91" s="4">
        <v>3</v>
      </c>
      <c r="C91" s="4">
        <v>450</v>
      </c>
      <c r="D91" s="4">
        <v>500</v>
      </c>
      <c r="E91" s="4">
        <f t="shared" si="31"/>
        <v>950</v>
      </c>
      <c r="F91" s="4">
        <v>0</v>
      </c>
      <c r="G91" s="4">
        <f t="shared" si="27"/>
        <v>950</v>
      </c>
      <c r="H91" s="5">
        <f t="shared" si="33"/>
        <v>0</v>
      </c>
      <c r="I91" s="4">
        <v>21</v>
      </c>
      <c r="J91" s="74">
        <f t="shared" si="32"/>
        <v>45.238095238095241</v>
      </c>
    </row>
    <row r="92" spans="1:10">
      <c r="B92" s="15">
        <v>4</v>
      </c>
      <c r="C92" s="4">
        <v>600</v>
      </c>
      <c r="D92" s="4">
        <v>750</v>
      </c>
      <c r="E92" s="4">
        <f t="shared" si="31"/>
        <v>1350</v>
      </c>
      <c r="F92" s="4">
        <v>125</v>
      </c>
      <c r="G92" s="4">
        <f t="shared" si="27"/>
        <v>1225</v>
      </c>
      <c r="H92" s="5">
        <f t="shared" si="33"/>
        <v>9.2592592592592587E-2</v>
      </c>
      <c r="I92" s="4">
        <v>30</v>
      </c>
      <c r="J92" s="74">
        <f t="shared" si="32"/>
        <v>40.833333333333336</v>
      </c>
    </row>
    <row r="93" spans="1:10">
      <c r="B93" s="15">
        <v>5</v>
      </c>
      <c r="C93" s="4">
        <v>450</v>
      </c>
      <c r="D93" s="4">
        <v>500</v>
      </c>
      <c r="E93" s="4">
        <f t="shared" si="31"/>
        <v>950</v>
      </c>
      <c r="F93" s="4">
        <v>130</v>
      </c>
      <c r="G93" s="4">
        <f t="shared" si="27"/>
        <v>820</v>
      </c>
      <c r="H93" s="5">
        <f t="shared" si="33"/>
        <v>0.1368421052631579</v>
      </c>
      <c r="I93" s="4">
        <v>18</v>
      </c>
      <c r="J93" s="74">
        <f t="shared" si="32"/>
        <v>45.555555555555557</v>
      </c>
    </row>
    <row r="94" spans="1:10">
      <c r="B94" s="4">
        <v>6</v>
      </c>
      <c r="C94" s="4">
        <v>700</v>
      </c>
      <c r="D94" s="4">
        <v>900</v>
      </c>
      <c r="E94" s="4">
        <f t="shared" si="31"/>
        <v>1600</v>
      </c>
      <c r="F94" s="4">
        <v>175</v>
      </c>
      <c r="G94" s="4">
        <f t="shared" si="27"/>
        <v>1425</v>
      </c>
      <c r="H94" s="5">
        <f t="shared" si="33"/>
        <v>0.109375</v>
      </c>
      <c r="I94" s="4">
        <v>35</v>
      </c>
      <c r="J94" s="74">
        <f t="shared" si="32"/>
        <v>40.714285714285715</v>
      </c>
    </row>
    <row r="95" spans="1:10">
      <c r="A95" s="2">
        <v>45854</v>
      </c>
      <c r="B95" s="4">
        <v>1</v>
      </c>
      <c r="C95" s="4">
        <v>1100</v>
      </c>
      <c r="D95" s="4">
        <v>1100</v>
      </c>
      <c r="E95" s="4">
        <f t="shared" si="31"/>
        <v>2200</v>
      </c>
      <c r="F95" s="4">
        <v>35</v>
      </c>
      <c r="G95" s="4">
        <f t="shared" si="27"/>
        <v>2165</v>
      </c>
      <c r="H95" s="5">
        <f t="shared" si="33"/>
        <v>1.5909090909090907E-2</v>
      </c>
      <c r="I95" s="4">
        <v>50</v>
      </c>
      <c r="J95" s="74">
        <f t="shared" si="32"/>
        <v>43.3</v>
      </c>
    </row>
    <row r="96" spans="1:10">
      <c r="B96" s="15">
        <v>2</v>
      </c>
      <c r="C96" s="4">
        <v>0</v>
      </c>
      <c r="D96" s="4">
        <v>0</v>
      </c>
      <c r="E96" s="4">
        <f t="shared" si="31"/>
        <v>0</v>
      </c>
      <c r="F96" s="4">
        <v>0</v>
      </c>
      <c r="G96" s="4">
        <f t="shared" si="27"/>
        <v>0</v>
      </c>
      <c r="H96" s="5" t="e">
        <f t="shared" si="33"/>
        <v>#DIV/0!</v>
      </c>
      <c r="I96" s="4">
        <v>0</v>
      </c>
      <c r="J96" s="74" t="e">
        <f t="shared" si="32"/>
        <v>#DIV/0!</v>
      </c>
    </row>
    <row r="97" spans="1:10">
      <c r="B97" s="4">
        <v>3</v>
      </c>
      <c r="C97" s="4">
        <v>500</v>
      </c>
      <c r="D97" s="4">
        <v>500</v>
      </c>
      <c r="E97" s="4">
        <f t="shared" si="31"/>
        <v>1000</v>
      </c>
      <c r="F97" s="4">
        <v>20</v>
      </c>
      <c r="G97" s="4">
        <f t="shared" si="27"/>
        <v>980</v>
      </c>
      <c r="H97" s="5">
        <f t="shared" si="33"/>
        <v>0.02</v>
      </c>
      <c r="I97" s="4">
        <v>21</v>
      </c>
      <c r="J97" s="74">
        <f t="shared" si="32"/>
        <v>46.666666666666664</v>
      </c>
    </row>
    <row r="98" spans="1:10">
      <c r="B98" s="15">
        <v>4</v>
      </c>
      <c r="C98" s="4">
        <v>650</v>
      </c>
      <c r="D98" s="4">
        <v>750</v>
      </c>
      <c r="E98" s="4">
        <f t="shared" si="31"/>
        <v>1400</v>
      </c>
      <c r="F98" s="4">
        <v>40</v>
      </c>
      <c r="G98" s="4">
        <f t="shared" si="27"/>
        <v>1360</v>
      </c>
      <c r="H98" s="5">
        <f t="shared" si="33"/>
        <v>2.8571428571428571E-2</v>
      </c>
      <c r="I98" s="4">
        <v>30</v>
      </c>
      <c r="J98" s="74">
        <f t="shared" si="32"/>
        <v>45.333333333333336</v>
      </c>
    </row>
    <row r="99" spans="1:10">
      <c r="B99" s="15">
        <v>5</v>
      </c>
      <c r="C99" s="4">
        <v>450</v>
      </c>
      <c r="D99" s="4">
        <v>450</v>
      </c>
      <c r="E99" s="4">
        <f t="shared" si="31"/>
        <v>900</v>
      </c>
      <c r="F99" s="4">
        <v>55</v>
      </c>
      <c r="G99" s="4">
        <f t="shared" si="27"/>
        <v>845</v>
      </c>
      <c r="H99" s="5">
        <f t="shared" si="33"/>
        <v>6.1111111111111109E-2</v>
      </c>
      <c r="I99" s="4">
        <v>18</v>
      </c>
      <c r="J99" s="74">
        <f t="shared" si="32"/>
        <v>46.944444444444443</v>
      </c>
    </row>
    <row r="100" spans="1:10">
      <c r="B100" s="4">
        <v>6</v>
      </c>
      <c r="C100" s="4">
        <v>750</v>
      </c>
      <c r="D100" s="4">
        <v>750</v>
      </c>
      <c r="E100" s="4">
        <f t="shared" si="31"/>
        <v>1500</v>
      </c>
      <c r="F100" s="4">
        <v>75</v>
      </c>
      <c r="G100" s="4">
        <f>$E100-F100</f>
        <v>1425</v>
      </c>
      <c r="H100" s="5">
        <f t="shared" si="33"/>
        <v>0.05</v>
      </c>
      <c r="I100" s="4">
        <v>35</v>
      </c>
      <c r="J100" s="74">
        <f t="shared" si="32"/>
        <v>40.714285714285715</v>
      </c>
    </row>
    <row r="101" spans="1:10">
      <c r="A101" s="2">
        <v>45855</v>
      </c>
      <c r="B101" s="4">
        <v>1</v>
      </c>
      <c r="C101" s="4">
        <v>1100</v>
      </c>
      <c r="D101" s="4">
        <v>1150</v>
      </c>
      <c r="E101" s="4">
        <f t="shared" si="31"/>
        <v>2250</v>
      </c>
      <c r="F101" s="4">
        <v>25</v>
      </c>
      <c r="G101" s="4">
        <f>$E101-F101</f>
        <v>2225</v>
      </c>
      <c r="H101" s="5">
        <f t="shared" si="33"/>
        <v>1.1111111111111112E-2</v>
      </c>
      <c r="I101" s="4">
        <v>50</v>
      </c>
      <c r="J101" s="74">
        <f t="shared" si="32"/>
        <v>44.5</v>
      </c>
    </row>
    <row r="102" spans="1:10">
      <c r="B102" s="15">
        <v>2</v>
      </c>
      <c r="C102" s="4">
        <v>0</v>
      </c>
      <c r="D102" s="4">
        <v>0</v>
      </c>
      <c r="E102" s="4">
        <f t="shared" si="31"/>
        <v>0</v>
      </c>
      <c r="F102" s="4">
        <v>0</v>
      </c>
      <c r="G102" s="4">
        <f t="shared" si="27"/>
        <v>0</v>
      </c>
      <c r="H102" s="5" t="e">
        <f t="shared" si="33"/>
        <v>#DIV/0!</v>
      </c>
      <c r="I102" s="4">
        <v>0</v>
      </c>
      <c r="J102" s="74" t="e">
        <f t="shared" si="32"/>
        <v>#DIV/0!</v>
      </c>
    </row>
    <row r="103" spans="1:10">
      <c r="B103" s="4">
        <v>3</v>
      </c>
      <c r="C103" s="4">
        <v>500</v>
      </c>
      <c r="D103" s="4">
        <v>500</v>
      </c>
      <c r="E103" s="4">
        <f t="shared" si="31"/>
        <v>1000</v>
      </c>
      <c r="F103" s="4">
        <v>0</v>
      </c>
      <c r="G103" s="4">
        <f t="shared" si="27"/>
        <v>1000</v>
      </c>
      <c r="H103" s="5">
        <f t="shared" si="33"/>
        <v>0</v>
      </c>
      <c r="I103" s="4">
        <v>21</v>
      </c>
      <c r="J103" s="74">
        <f t="shared" si="32"/>
        <v>47.61904761904762</v>
      </c>
    </row>
    <row r="104" spans="1:10">
      <c r="B104" s="15">
        <v>4</v>
      </c>
      <c r="C104" s="4">
        <v>700</v>
      </c>
      <c r="D104" s="4">
        <v>720</v>
      </c>
      <c r="E104" s="4">
        <f t="shared" si="31"/>
        <v>1420</v>
      </c>
      <c r="F104" s="4">
        <v>90</v>
      </c>
      <c r="G104" s="4">
        <f t="shared" si="27"/>
        <v>1330</v>
      </c>
      <c r="H104" s="5">
        <f t="shared" si="33"/>
        <v>6.3380281690140844E-2</v>
      </c>
      <c r="I104" s="4">
        <v>30</v>
      </c>
      <c r="J104" s="74">
        <f t="shared" si="32"/>
        <v>44.333333333333336</v>
      </c>
    </row>
    <row r="105" spans="1:10">
      <c r="B105" s="15">
        <v>5</v>
      </c>
      <c r="C105" s="4">
        <v>450</v>
      </c>
      <c r="D105" s="4">
        <v>430</v>
      </c>
      <c r="E105" s="4">
        <f t="shared" si="31"/>
        <v>880</v>
      </c>
      <c r="F105" s="4">
        <v>35</v>
      </c>
      <c r="G105" s="4">
        <f t="shared" si="27"/>
        <v>845</v>
      </c>
      <c r="H105" s="5">
        <f t="shared" si="33"/>
        <v>3.9772727272727272E-2</v>
      </c>
      <c r="I105" s="4">
        <v>18</v>
      </c>
      <c r="J105" s="74">
        <f t="shared" si="32"/>
        <v>46.944444444444443</v>
      </c>
    </row>
    <row r="106" spans="1:10">
      <c r="B106" s="4">
        <v>6</v>
      </c>
      <c r="C106" s="4">
        <v>750</v>
      </c>
      <c r="D106" s="4">
        <v>860</v>
      </c>
      <c r="E106" s="4">
        <f t="shared" si="31"/>
        <v>1610</v>
      </c>
      <c r="F106" s="4">
        <v>40</v>
      </c>
      <c r="G106" s="4">
        <f t="shared" si="27"/>
        <v>1570</v>
      </c>
      <c r="H106" s="5">
        <f t="shared" si="33"/>
        <v>2.4844720496894408E-2</v>
      </c>
      <c r="I106" s="4">
        <v>35</v>
      </c>
      <c r="J106" s="74">
        <f t="shared" si="32"/>
        <v>44.857142857142854</v>
      </c>
    </row>
    <row r="107" spans="1:10">
      <c r="A107" s="2">
        <v>45856</v>
      </c>
      <c r="B107" s="4">
        <v>1</v>
      </c>
      <c r="C107" s="4">
        <v>1150</v>
      </c>
      <c r="D107" s="4">
        <v>1150</v>
      </c>
      <c r="E107" s="4">
        <f t="shared" si="31"/>
        <v>2300</v>
      </c>
      <c r="F107" s="4">
        <v>35</v>
      </c>
      <c r="G107" s="4">
        <f t="shared" si="27"/>
        <v>2265</v>
      </c>
      <c r="H107" s="5">
        <f t="shared" si="33"/>
        <v>1.5217391304347827E-2</v>
      </c>
      <c r="I107" s="4">
        <v>50</v>
      </c>
      <c r="J107" s="74">
        <f t="shared" si="32"/>
        <v>45.3</v>
      </c>
    </row>
    <row r="108" spans="1:10">
      <c r="B108" s="15">
        <v>2</v>
      </c>
      <c r="C108" s="4">
        <v>0</v>
      </c>
      <c r="D108" s="4">
        <v>0</v>
      </c>
      <c r="E108" s="4">
        <f t="shared" si="31"/>
        <v>0</v>
      </c>
      <c r="F108" s="4">
        <v>0</v>
      </c>
      <c r="G108" s="4">
        <f>$E108-F108</f>
        <v>0</v>
      </c>
      <c r="H108" s="5" t="e">
        <f>F109/E108</f>
        <v>#DIV/0!</v>
      </c>
      <c r="I108" s="4">
        <v>0</v>
      </c>
      <c r="J108" s="74" t="e">
        <f t="shared" si="32"/>
        <v>#DIV/0!</v>
      </c>
    </row>
    <row r="109" spans="1:10">
      <c r="B109" s="4">
        <v>3</v>
      </c>
      <c r="C109" s="4">
        <v>500</v>
      </c>
      <c r="D109" s="4">
        <v>500</v>
      </c>
      <c r="E109" s="4">
        <f t="shared" si="31"/>
        <v>1000</v>
      </c>
      <c r="F109" s="4">
        <v>30</v>
      </c>
      <c r="G109" s="4">
        <f>$E109-F109</f>
        <v>970</v>
      </c>
      <c r="H109" s="5">
        <f>F109/E109</f>
        <v>0.03</v>
      </c>
      <c r="I109" s="4">
        <v>21</v>
      </c>
      <c r="J109" s="74">
        <f t="shared" si="32"/>
        <v>46.19047619047619</v>
      </c>
    </row>
    <row r="110" spans="1:10">
      <c r="B110" s="15">
        <v>4</v>
      </c>
      <c r="C110" s="4">
        <v>720</v>
      </c>
      <c r="D110" s="4">
        <v>720</v>
      </c>
      <c r="E110" s="4">
        <f t="shared" si="31"/>
        <v>1440</v>
      </c>
      <c r="F110" s="4">
        <v>55</v>
      </c>
      <c r="G110" s="4">
        <f>$E110-F110</f>
        <v>1385</v>
      </c>
      <c r="H110" s="5">
        <f>F110/E110</f>
        <v>3.8194444444444448E-2</v>
      </c>
      <c r="I110" s="4">
        <v>30</v>
      </c>
      <c r="J110" s="74">
        <f t="shared" si="32"/>
        <v>46.166666666666664</v>
      </c>
    </row>
    <row r="111" spans="1:10">
      <c r="B111" s="15">
        <v>5</v>
      </c>
      <c r="C111" s="4">
        <v>430</v>
      </c>
      <c r="D111" s="4">
        <v>430</v>
      </c>
      <c r="E111" s="4">
        <f t="shared" si="31"/>
        <v>860</v>
      </c>
      <c r="F111" s="4">
        <v>40</v>
      </c>
      <c r="G111" s="4">
        <f>$E111-F111</f>
        <v>820</v>
      </c>
      <c r="H111" s="5">
        <f>F111/E111</f>
        <v>4.6511627906976744E-2</v>
      </c>
      <c r="I111" s="4">
        <v>18</v>
      </c>
      <c r="J111" s="74">
        <f t="shared" si="32"/>
        <v>45.555555555555557</v>
      </c>
    </row>
    <row r="112" spans="1:10">
      <c r="B112" s="4">
        <v>6</v>
      </c>
      <c r="C112" s="4">
        <v>860</v>
      </c>
      <c r="D112" s="4">
        <v>860</v>
      </c>
      <c r="E112" s="4">
        <f t="shared" si="31"/>
        <v>1720</v>
      </c>
      <c r="F112" s="4">
        <v>90</v>
      </c>
      <c r="G112" s="4">
        <f>$E112-F112</f>
        <v>1630</v>
      </c>
      <c r="H112" s="5">
        <f>F112/E112</f>
        <v>5.232558139534884E-2</v>
      </c>
      <c r="I112" s="4">
        <v>32</v>
      </c>
      <c r="J112" s="74">
        <f t="shared" si="32"/>
        <v>50.9375</v>
      </c>
    </row>
    <row r="113" spans="1:10">
      <c r="A113" s="2">
        <v>45857</v>
      </c>
      <c r="B113" s="4">
        <v>1</v>
      </c>
      <c r="C113" s="4">
        <v>1150</v>
      </c>
      <c r="D113" s="4">
        <v>1150</v>
      </c>
      <c r="E113" s="4">
        <f t="shared" si="31"/>
        <v>2300</v>
      </c>
      <c r="F113" s="4">
        <v>40</v>
      </c>
      <c r="G113" s="4">
        <f t="shared" si="27"/>
        <v>2260</v>
      </c>
      <c r="H113" s="5">
        <f t="shared" si="33"/>
        <v>1.7391304347826087E-2</v>
      </c>
      <c r="J113" s="74" t="e">
        <f t="shared" si="32"/>
        <v>#DIV/0!</v>
      </c>
    </row>
    <row r="114" spans="1:10">
      <c r="B114" s="15">
        <v>2</v>
      </c>
      <c r="C114" s="4">
        <v>0</v>
      </c>
      <c r="D114" s="4">
        <v>0</v>
      </c>
      <c r="E114" s="4">
        <f t="shared" si="31"/>
        <v>0</v>
      </c>
      <c r="F114" s="4">
        <v>0</v>
      </c>
      <c r="G114" s="4">
        <f t="shared" si="27"/>
        <v>0</v>
      </c>
      <c r="H114" s="5" t="e">
        <f t="shared" si="33"/>
        <v>#DIV/0!</v>
      </c>
      <c r="J114" s="74" t="e">
        <f t="shared" si="32"/>
        <v>#DIV/0!</v>
      </c>
    </row>
    <row r="115" spans="1:10">
      <c r="B115" s="4">
        <v>3</v>
      </c>
      <c r="C115" s="4">
        <v>500</v>
      </c>
      <c r="D115" s="4">
        <v>500</v>
      </c>
      <c r="E115" s="4">
        <f t="shared" si="31"/>
        <v>1000</v>
      </c>
      <c r="F115" s="4">
        <v>15</v>
      </c>
      <c r="G115" s="4">
        <f t="shared" si="27"/>
        <v>985</v>
      </c>
      <c r="H115" s="5">
        <f t="shared" si="33"/>
        <v>1.4999999999999999E-2</v>
      </c>
      <c r="J115" s="74" t="e">
        <f t="shared" si="32"/>
        <v>#DIV/0!</v>
      </c>
    </row>
    <row r="116" spans="1:10">
      <c r="B116" s="15">
        <v>4</v>
      </c>
      <c r="C116" s="4">
        <v>720</v>
      </c>
      <c r="D116" s="4">
        <v>700</v>
      </c>
      <c r="E116" s="4">
        <f t="shared" si="31"/>
        <v>1420</v>
      </c>
      <c r="F116" s="4">
        <v>35</v>
      </c>
      <c r="G116" s="4">
        <f t="shared" si="27"/>
        <v>1385</v>
      </c>
      <c r="H116" s="5">
        <f t="shared" si="33"/>
        <v>2.464788732394366E-2</v>
      </c>
      <c r="J116" s="74" t="e">
        <f t="shared" si="32"/>
        <v>#DIV/0!</v>
      </c>
    </row>
    <row r="117" spans="1:10">
      <c r="B117" s="15">
        <v>5</v>
      </c>
      <c r="C117" s="4">
        <v>430</v>
      </c>
      <c r="D117" s="4">
        <v>430</v>
      </c>
      <c r="E117" s="4">
        <f t="shared" si="31"/>
        <v>860</v>
      </c>
      <c r="F117" s="4">
        <v>20</v>
      </c>
      <c r="G117" s="4">
        <f t="shared" si="27"/>
        <v>840</v>
      </c>
      <c r="H117" s="5">
        <f t="shared" si="33"/>
        <v>2.3255813953488372E-2</v>
      </c>
      <c r="J117" s="74" t="e">
        <f t="shared" si="32"/>
        <v>#DIV/0!</v>
      </c>
    </row>
    <row r="118" spans="1:10">
      <c r="B118" s="4">
        <v>6</v>
      </c>
      <c r="C118" s="4">
        <v>850</v>
      </c>
      <c r="D118" s="4">
        <v>850</v>
      </c>
      <c r="E118" s="4">
        <f t="shared" si="31"/>
        <v>1700</v>
      </c>
      <c r="F118" s="4">
        <v>75</v>
      </c>
      <c r="G118" s="4">
        <f t="shared" ref="G118:G181" si="34">$E118-F118</f>
        <v>1625</v>
      </c>
      <c r="H118" s="5">
        <f t="shared" si="33"/>
        <v>4.4117647058823532E-2</v>
      </c>
      <c r="J118" s="74" t="e">
        <f t="shared" si="32"/>
        <v>#DIV/0!</v>
      </c>
    </row>
    <row r="119" spans="1:10">
      <c r="A119" s="2">
        <v>45858</v>
      </c>
      <c r="B119" s="4">
        <v>1</v>
      </c>
      <c r="C119" s="4">
        <v>1150</v>
      </c>
      <c r="D119" s="4">
        <v>1150</v>
      </c>
      <c r="E119" s="4">
        <f t="shared" si="31"/>
        <v>2300</v>
      </c>
      <c r="F119" s="4">
        <v>105</v>
      </c>
      <c r="G119" s="4">
        <f t="shared" si="34"/>
        <v>2195</v>
      </c>
      <c r="H119" s="5">
        <f t="shared" si="33"/>
        <v>4.5652173913043478E-2</v>
      </c>
      <c r="J119" s="74" t="e">
        <f t="shared" si="32"/>
        <v>#DIV/0!</v>
      </c>
    </row>
    <row r="120" spans="1:10">
      <c r="B120" s="15">
        <v>2</v>
      </c>
      <c r="C120" s="4">
        <v>0</v>
      </c>
      <c r="D120" s="4">
        <v>0</v>
      </c>
      <c r="E120" s="4">
        <f t="shared" si="31"/>
        <v>0</v>
      </c>
      <c r="F120" s="4">
        <v>0</v>
      </c>
      <c r="G120" s="4">
        <f t="shared" si="34"/>
        <v>0</v>
      </c>
      <c r="H120" s="5" t="e">
        <f t="shared" si="33"/>
        <v>#DIV/0!</v>
      </c>
      <c r="J120" s="74" t="e">
        <f t="shared" si="32"/>
        <v>#DIV/0!</v>
      </c>
    </row>
    <row r="121" spans="1:10">
      <c r="B121" s="4">
        <v>3</v>
      </c>
      <c r="C121" s="4">
        <v>500</v>
      </c>
      <c r="D121" s="4">
        <v>500</v>
      </c>
      <c r="E121" s="4">
        <f t="shared" si="31"/>
        <v>1000</v>
      </c>
      <c r="F121" s="4">
        <v>25</v>
      </c>
      <c r="G121" s="4">
        <f t="shared" si="34"/>
        <v>975</v>
      </c>
      <c r="H121" s="5">
        <f t="shared" si="33"/>
        <v>2.5000000000000001E-2</v>
      </c>
      <c r="J121" s="74" t="e">
        <f t="shared" si="32"/>
        <v>#DIV/0!</v>
      </c>
    </row>
    <row r="122" spans="1:10">
      <c r="B122" s="15">
        <v>4</v>
      </c>
      <c r="C122" s="4">
        <v>720</v>
      </c>
      <c r="D122" s="4">
        <v>720</v>
      </c>
      <c r="E122" s="4">
        <f t="shared" si="31"/>
        <v>1440</v>
      </c>
      <c r="F122" s="4">
        <v>70</v>
      </c>
      <c r="G122" s="4">
        <f t="shared" si="34"/>
        <v>1370</v>
      </c>
      <c r="H122" s="5">
        <f t="shared" si="33"/>
        <v>4.8611111111111112E-2</v>
      </c>
      <c r="J122" s="74" t="e">
        <f t="shared" si="32"/>
        <v>#DIV/0!</v>
      </c>
    </row>
    <row r="123" spans="1:10">
      <c r="B123" s="15">
        <v>5</v>
      </c>
      <c r="C123" s="4">
        <v>430</v>
      </c>
      <c r="D123" s="4">
        <v>430</v>
      </c>
      <c r="E123" s="4">
        <f t="shared" si="31"/>
        <v>860</v>
      </c>
      <c r="F123" s="4">
        <v>30</v>
      </c>
      <c r="G123" s="4">
        <f t="shared" si="34"/>
        <v>830</v>
      </c>
      <c r="H123" s="5">
        <f t="shared" si="33"/>
        <v>3.4883720930232558E-2</v>
      </c>
      <c r="J123" s="74" t="e">
        <f t="shared" si="32"/>
        <v>#DIV/0!</v>
      </c>
    </row>
    <row r="124" spans="1:10">
      <c r="B124" s="4">
        <v>6</v>
      </c>
      <c r="C124" s="4">
        <v>850</v>
      </c>
      <c r="D124" s="4">
        <v>850</v>
      </c>
      <c r="E124" s="4">
        <f t="shared" si="31"/>
        <v>1700</v>
      </c>
      <c r="F124" s="4">
        <v>65</v>
      </c>
      <c r="G124" s="4">
        <f t="shared" si="34"/>
        <v>1635</v>
      </c>
      <c r="H124" s="5">
        <f t="shared" si="33"/>
        <v>3.8235294117647062E-2</v>
      </c>
      <c r="J124" s="74" t="e">
        <f t="shared" si="32"/>
        <v>#DIV/0!</v>
      </c>
    </row>
    <row r="125" spans="1:10">
      <c r="A125" s="2">
        <v>45859</v>
      </c>
      <c r="B125" s="4">
        <v>1</v>
      </c>
      <c r="C125" s="4">
        <v>1150</v>
      </c>
      <c r="D125" s="4">
        <v>1150</v>
      </c>
      <c r="E125" s="4">
        <f t="shared" si="31"/>
        <v>2300</v>
      </c>
      <c r="F125" s="4">
        <v>98</v>
      </c>
      <c r="G125" s="4">
        <f t="shared" si="34"/>
        <v>2202</v>
      </c>
      <c r="H125" s="5">
        <f t="shared" si="33"/>
        <v>4.2608695652173914E-2</v>
      </c>
      <c r="J125" s="74" t="e">
        <f t="shared" si="32"/>
        <v>#DIV/0!</v>
      </c>
    </row>
    <row r="126" spans="1:10">
      <c r="B126" s="15">
        <v>2</v>
      </c>
      <c r="C126" s="4">
        <v>0</v>
      </c>
      <c r="D126" s="4">
        <v>0</v>
      </c>
      <c r="E126" s="4">
        <f t="shared" si="31"/>
        <v>0</v>
      </c>
      <c r="F126" s="4">
        <v>0</v>
      </c>
      <c r="G126" s="4">
        <f t="shared" si="34"/>
        <v>0</v>
      </c>
      <c r="H126" s="5" t="e">
        <f t="shared" si="33"/>
        <v>#DIV/0!</v>
      </c>
      <c r="J126" s="74" t="e">
        <f t="shared" si="32"/>
        <v>#DIV/0!</v>
      </c>
    </row>
    <row r="127" spans="1:10">
      <c r="B127" s="4">
        <v>3</v>
      </c>
      <c r="C127" s="4">
        <v>500</v>
      </c>
      <c r="D127" s="4">
        <v>500</v>
      </c>
      <c r="E127" s="4">
        <f t="shared" si="31"/>
        <v>1000</v>
      </c>
      <c r="F127" s="4">
        <v>20</v>
      </c>
      <c r="G127" s="4">
        <f t="shared" si="34"/>
        <v>980</v>
      </c>
      <c r="H127" s="5">
        <f t="shared" si="33"/>
        <v>0.02</v>
      </c>
      <c r="J127" s="74" t="e">
        <f t="shared" si="32"/>
        <v>#DIV/0!</v>
      </c>
    </row>
    <row r="128" spans="1:10">
      <c r="B128" s="15">
        <v>4</v>
      </c>
      <c r="C128" s="4">
        <v>720</v>
      </c>
      <c r="D128" s="4">
        <v>720</v>
      </c>
      <c r="E128" s="4">
        <f t="shared" si="31"/>
        <v>1440</v>
      </c>
      <c r="F128" s="4">
        <v>55</v>
      </c>
      <c r="G128" s="4">
        <f t="shared" si="34"/>
        <v>1385</v>
      </c>
      <c r="H128" s="5">
        <f t="shared" si="33"/>
        <v>3.8194444444444448E-2</v>
      </c>
      <c r="J128" s="74" t="e">
        <f t="shared" si="32"/>
        <v>#DIV/0!</v>
      </c>
    </row>
    <row r="129" spans="1:10">
      <c r="B129" s="15">
        <v>5</v>
      </c>
      <c r="C129" s="4">
        <v>430</v>
      </c>
      <c r="D129" s="4">
        <v>430</v>
      </c>
      <c r="E129" s="4">
        <f t="shared" si="31"/>
        <v>860</v>
      </c>
      <c r="F129" s="4">
        <v>25</v>
      </c>
      <c r="G129" s="4">
        <f t="shared" si="34"/>
        <v>835</v>
      </c>
      <c r="H129" s="5">
        <f t="shared" si="33"/>
        <v>2.9069767441860465E-2</v>
      </c>
      <c r="J129" s="74" t="e">
        <f t="shared" si="32"/>
        <v>#DIV/0!</v>
      </c>
    </row>
    <row r="130" spans="1:10">
      <c r="B130" s="4">
        <v>6</v>
      </c>
      <c r="C130" s="4">
        <v>850</v>
      </c>
      <c r="D130" s="4">
        <v>850</v>
      </c>
      <c r="E130" s="4">
        <f t="shared" ref="E130:E190" si="35">$C130+D130</f>
        <v>1700</v>
      </c>
      <c r="F130" s="4">
        <v>60</v>
      </c>
      <c r="G130" s="4">
        <f t="shared" si="34"/>
        <v>1640</v>
      </c>
      <c r="H130" s="5">
        <f t="shared" si="33"/>
        <v>3.5294117647058823E-2</v>
      </c>
      <c r="J130" s="74" t="e">
        <f t="shared" si="32"/>
        <v>#DIV/0!</v>
      </c>
    </row>
    <row r="131" spans="1:10">
      <c r="A131" s="2">
        <v>45860</v>
      </c>
      <c r="B131" s="4">
        <v>1</v>
      </c>
      <c r="E131" s="4">
        <f t="shared" si="35"/>
        <v>0</v>
      </c>
      <c r="F131" s="4">
        <v>125</v>
      </c>
      <c r="G131" s="4">
        <f t="shared" si="34"/>
        <v>-125</v>
      </c>
      <c r="H131" s="5" t="e">
        <f t="shared" si="33"/>
        <v>#DIV/0!</v>
      </c>
      <c r="J131" s="74" t="e">
        <f t="shared" ref="J131:J191" si="36">$G131/I131</f>
        <v>#DIV/0!</v>
      </c>
    </row>
    <row r="132" spans="1:10">
      <c r="B132" s="15">
        <v>2</v>
      </c>
      <c r="E132" s="4">
        <f t="shared" si="35"/>
        <v>0</v>
      </c>
      <c r="F132" s="4">
        <v>0</v>
      </c>
      <c r="G132" s="4">
        <f t="shared" si="34"/>
        <v>0</v>
      </c>
      <c r="H132" s="5" t="e">
        <f t="shared" si="33"/>
        <v>#DIV/0!</v>
      </c>
      <c r="J132" s="74" t="e">
        <f t="shared" si="36"/>
        <v>#DIV/0!</v>
      </c>
    </row>
    <row r="133" spans="1:10">
      <c r="B133" s="4">
        <v>3</v>
      </c>
      <c r="E133" s="4">
        <f t="shared" si="35"/>
        <v>0</v>
      </c>
      <c r="F133" s="4">
        <v>40</v>
      </c>
      <c r="G133" s="4">
        <f t="shared" si="34"/>
        <v>-40</v>
      </c>
      <c r="H133" s="5" t="e">
        <f t="shared" si="33"/>
        <v>#DIV/0!</v>
      </c>
      <c r="J133" s="74" t="e">
        <f t="shared" si="36"/>
        <v>#DIV/0!</v>
      </c>
    </row>
    <row r="134" spans="1:10">
      <c r="B134" s="15">
        <v>4</v>
      </c>
      <c r="E134" s="4">
        <f t="shared" si="35"/>
        <v>0</v>
      </c>
      <c r="F134" s="4">
        <v>115</v>
      </c>
      <c r="G134" s="4">
        <f t="shared" si="34"/>
        <v>-115</v>
      </c>
      <c r="H134" s="5" t="e">
        <f t="shared" si="33"/>
        <v>#DIV/0!</v>
      </c>
      <c r="J134" s="74" t="e">
        <f t="shared" si="36"/>
        <v>#DIV/0!</v>
      </c>
    </row>
    <row r="135" spans="1:10">
      <c r="B135" s="15">
        <v>5</v>
      </c>
      <c r="E135" s="4">
        <f t="shared" si="35"/>
        <v>0</v>
      </c>
      <c r="F135" s="4">
        <v>95</v>
      </c>
      <c r="G135" s="4">
        <f t="shared" si="34"/>
        <v>-95</v>
      </c>
      <c r="H135" s="5" t="e">
        <f t="shared" si="33"/>
        <v>#DIV/0!</v>
      </c>
      <c r="J135" s="74" t="e">
        <f t="shared" si="36"/>
        <v>#DIV/0!</v>
      </c>
    </row>
    <row r="136" spans="1:10">
      <c r="B136" s="4">
        <v>6</v>
      </c>
      <c r="E136" s="4">
        <f t="shared" si="35"/>
        <v>0</v>
      </c>
      <c r="F136" s="4">
        <v>170</v>
      </c>
      <c r="G136" s="4">
        <f t="shared" si="34"/>
        <v>-170</v>
      </c>
      <c r="H136" s="5" t="e">
        <f t="shared" si="33"/>
        <v>#DIV/0!</v>
      </c>
      <c r="J136" s="74" t="e">
        <f t="shared" si="36"/>
        <v>#DIV/0!</v>
      </c>
    </row>
    <row r="137" spans="1:10">
      <c r="A137" s="2">
        <v>45861</v>
      </c>
      <c r="B137" s="4">
        <v>1</v>
      </c>
      <c r="C137">
        <v>1100</v>
      </c>
      <c r="D137">
        <v>1100</v>
      </c>
      <c r="E137" s="4">
        <f t="shared" si="35"/>
        <v>2200</v>
      </c>
      <c r="F137" s="4">
        <v>195</v>
      </c>
      <c r="G137" s="4">
        <f t="shared" si="34"/>
        <v>2005</v>
      </c>
      <c r="H137" s="5">
        <f t="shared" si="33"/>
        <v>8.8636363636363638E-2</v>
      </c>
      <c r="J137" s="74" t="e">
        <f t="shared" si="36"/>
        <v>#DIV/0!</v>
      </c>
    </row>
    <row r="138" spans="1:10">
      <c r="B138" s="15">
        <v>2</v>
      </c>
      <c r="C138">
        <v>0</v>
      </c>
      <c r="D138">
        <v>0</v>
      </c>
      <c r="E138" s="4">
        <f t="shared" si="35"/>
        <v>0</v>
      </c>
      <c r="F138" s="4">
        <v>0</v>
      </c>
      <c r="G138" s="4">
        <f t="shared" si="34"/>
        <v>0</v>
      </c>
      <c r="H138" s="5" t="e">
        <f t="shared" si="33"/>
        <v>#DIV/0!</v>
      </c>
      <c r="J138" s="74" t="e">
        <f t="shared" si="36"/>
        <v>#DIV/0!</v>
      </c>
    </row>
    <row r="139" spans="1:10">
      <c r="B139" s="4">
        <v>3</v>
      </c>
      <c r="C139">
        <v>450</v>
      </c>
      <c r="D139">
        <v>450</v>
      </c>
      <c r="E139" s="4">
        <f t="shared" si="35"/>
        <v>900</v>
      </c>
      <c r="F139" s="4">
        <v>25</v>
      </c>
      <c r="G139" s="4">
        <f t="shared" si="34"/>
        <v>875</v>
      </c>
      <c r="H139" s="5">
        <f t="shared" si="33"/>
        <v>2.7777777777777776E-2</v>
      </c>
      <c r="J139" s="74" t="e">
        <f t="shared" si="36"/>
        <v>#DIV/0!</v>
      </c>
    </row>
    <row r="140" spans="1:10">
      <c r="B140" s="15">
        <v>4</v>
      </c>
      <c r="C140">
        <v>700</v>
      </c>
      <c r="D140">
        <v>700</v>
      </c>
      <c r="E140" s="4">
        <f t="shared" si="35"/>
        <v>1400</v>
      </c>
      <c r="F140" s="4">
        <v>285</v>
      </c>
      <c r="G140" s="4">
        <f t="shared" si="34"/>
        <v>1115</v>
      </c>
      <c r="H140" s="5">
        <f t="shared" si="33"/>
        <v>0.20357142857142857</v>
      </c>
      <c r="J140" s="74" t="e">
        <f t="shared" si="36"/>
        <v>#DIV/0!</v>
      </c>
    </row>
    <row r="141" spans="1:10">
      <c r="B141" s="15">
        <v>5</v>
      </c>
      <c r="C141">
        <v>400</v>
      </c>
      <c r="D141">
        <v>400</v>
      </c>
      <c r="E141" s="4">
        <f t="shared" si="35"/>
        <v>800</v>
      </c>
      <c r="F141" s="4">
        <v>135</v>
      </c>
      <c r="G141" s="4">
        <f t="shared" si="34"/>
        <v>665</v>
      </c>
      <c r="H141" s="5">
        <f t="shared" ref="H141:H191" si="37">F141/E141</f>
        <v>0.16875000000000001</v>
      </c>
      <c r="J141" s="74" t="e">
        <f t="shared" si="36"/>
        <v>#DIV/0!</v>
      </c>
    </row>
    <row r="142" spans="1:10">
      <c r="B142" s="4">
        <v>6</v>
      </c>
      <c r="C142">
        <v>750</v>
      </c>
      <c r="D142">
        <v>750</v>
      </c>
      <c r="E142" s="4">
        <f t="shared" si="35"/>
        <v>1500</v>
      </c>
      <c r="F142" s="4">
        <v>335</v>
      </c>
      <c r="G142" s="4">
        <f t="shared" si="34"/>
        <v>1165</v>
      </c>
      <c r="H142" s="5">
        <f t="shared" si="37"/>
        <v>0.22333333333333333</v>
      </c>
      <c r="J142" s="74" t="e">
        <f t="shared" si="36"/>
        <v>#DIV/0!</v>
      </c>
    </row>
    <row r="143" spans="1:10">
      <c r="A143" s="2">
        <v>45862</v>
      </c>
      <c r="B143" s="4">
        <v>1</v>
      </c>
      <c r="C143">
        <v>1000</v>
      </c>
      <c r="D143">
        <v>1000</v>
      </c>
      <c r="E143" s="4">
        <f t="shared" si="35"/>
        <v>2000</v>
      </c>
      <c r="F143" s="4">
        <v>35</v>
      </c>
      <c r="G143" s="4">
        <f t="shared" si="34"/>
        <v>1965</v>
      </c>
      <c r="H143" s="5">
        <f t="shared" si="37"/>
        <v>1.7500000000000002E-2</v>
      </c>
      <c r="J143" s="74" t="e">
        <f t="shared" si="36"/>
        <v>#DIV/0!</v>
      </c>
    </row>
    <row r="144" spans="1:10">
      <c r="B144" s="15">
        <v>2</v>
      </c>
      <c r="C144">
        <v>0</v>
      </c>
      <c r="D144">
        <v>0</v>
      </c>
      <c r="E144" s="4">
        <f t="shared" si="35"/>
        <v>0</v>
      </c>
      <c r="F144" s="4">
        <v>0</v>
      </c>
      <c r="G144" s="4">
        <f t="shared" si="34"/>
        <v>0</v>
      </c>
      <c r="H144" s="5" t="e">
        <f t="shared" si="37"/>
        <v>#DIV/0!</v>
      </c>
      <c r="J144" s="74" t="e">
        <f t="shared" si="36"/>
        <v>#DIV/0!</v>
      </c>
    </row>
    <row r="145" spans="1:10">
      <c r="B145" s="4">
        <v>3</v>
      </c>
      <c r="C145">
        <v>450</v>
      </c>
      <c r="D145">
        <v>450</v>
      </c>
      <c r="E145" s="4">
        <f t="shared" si="35"/>
        <v>900</v>
      </c>
      <c r="F145" s="4">
        <v>20</v>
      </c>
      <c r="G145" s="4">
        <f t="shared" si="34"/>
        <v>880</v>
      </c>
      <c r="H145" s="5">
        <f t="shared" si="37"/>
        <v>2.2222222222222223E-2</v>
      </c>
      <c r="J145" s="74" t="e">
        <f t="shared" si="36"/>
        <v>#DIV/0!</v>
      </c>
    </row>
    <row r="146" spans="1:10">
      <c r="B146" s="15">
        <v>4</v>
      </c>
      <c r="C146">
        <v>700</v>
      </c>
      <c r="D146">
        <v>700</v>
      </c>
      <c r="E146" s="4">
        <f t="shared" si="35"/>
        <v>1400</v>
      </c>
      <c r="F146" s="4">
        <v>85</v>
      </c>
      <c r="G146" s="4">
        <f t="shared" si="34"/>
        <v>1315</v>
      </c>
      <c r="H146" s="5">
        <f t="shared" si="37"/>
        <v>6.0714285714285714E-2</v>
      </c>
      <c r="J146" s="74" t="e">
        <f t="shared" si="36"/>
        <v>#DIV/0!</v>
      </c>
    </row>
    <row r="147" spans="1:10">
      <c r="B147" s="15">
        <v>5</v>
      </c>
      <c r="C147">
        <v>400</v>
      </c>
      <c r="D147">
        <v>400</v>
      </c>
      <c r="E147" s="4">
        <f t="shared" si="35"/>
        <v>800</v>
      </c>
      <c r="F147" s="4">
        <v>25</v>
      </c>
      <c r="G147" s="4">
        <f t="shared" si="34"/>
        <v>775</v>
      </c>
      <c r="H147" s="5">
        <f t="shared" si="37"/>
        <v>3.125E-2</v>
      </c>
      <c r="J147" s="74" t="e">
        <f t="shared" si="36"/>
        <v>#DIV/0!</v>
      </c>
    </row>
    <row r="148" spans="1:10">
      <c r="B148" s="4">
        <v>6</v>
      </c>
      <c r="C148">
        <v>700</v>
      </c>
      <c r="D148">
        <v>700</v>
      </c>
      <c r="E148" s="4">
        <f t="shared" si="35"/>
        <v>1400</v>
      </c>
      <c r="F148" s="4">
        <v>110</v>
      </c>
      <c r="G148" s="4">
        <f t="shared" si="34"/>
        <v>1290</v>
      </c>
      <c r="H148" s="5">
        <f t="shared" si="37"/>
        <v>7.857142857142857E-2</v>
      </c>
      <c r="J148" s="74" t="e">
        <f t="shared" si="36"/>
        <v>#DIV/0!</v>
      </c>
    </row>
    <row r="149" spans="1:10">
      <c r="A149" s="2">
        <v>45863</v>
      </c>
      <c r="B149" s="4">
        <v>1</v>
      </c>
      <c r="C149">
        <v>1000</v>
      </c>
      <c r="D149">
        <v>1000</v>
      </c>
      <c r="E149" s="4">
        <f t="shared" si="35"/>
        <v>2000</v>
      </c>
      <c r="F149" s="4">
        <v>30</v>
      </c>
      <c r="G149" s="4">
        <f t="shared" si="34"/>
        <v>1970</v>
      </c>
      <c r="H149" s="5">
        <f t="shared" si="37"/>
        <v>1.4999999999999999E-2</v>
      </c>
      <c r="J149" s="74" t="e">
        <f t="shared" si="36"/>
        <v>#DIV/0!</v>
      </c>
    </row>
    <row r="150" spans="1:10">
      <c r="B150" s="15">
        <v>2</v>
      </c>
      <c r="C150">
        <v>0</v>
      </c>
      <c r="D150">
        <v>0</v>
      </c>
      <c r="E150" s="4">
        <f t="shared" si="35"/>
        <v>0</v>
      </c>
      <c r="F150" s="4">
        <v>0</v>
      </c>
      <c r="G150" s="4">
        <f t="shared" si="34"/>
        <v>0</v>
      </c>
      <c r="H150" s="5" t="e">
        <f t="shared" si="37"/>
        <v>#DIV/0!</v>
      </c>
      <c r="J150" s="74" t="e">
        <f t="shared" si="36"/>
        <v>#DIV/0!</v>
      </c>
    </row>
    <row r="151" spans="1:10">
      <c r="B151" s="4">
        <v>3</v>
      </c>
      <c r="C151">
        <v>450</v>
      </c>
      <c r="D151">
        <v>450</v>
      </c>
      <c r="E151" s="4">
        <f t="shared" si="35"/>
        <v>900</v>
      </c>
      <c r="F151" s="4">
        <v>15</v>
      </c>
      <c r="G151" s="4">
        <f t="shared" si="34"/>
        <v>885</v>
      </c>
      <c r="H151" s="5">
        <f t="shared" si="37"/>
        <v>1.6666666666666666E-2</v>
      </c>
      <c r="J151" s="74" t="e">
        <f t="shared" si="36"/>
        <v>#DIV/0!</v>
      </c>
    </row>
    <row r="152" spans="1:10">
      <c r="B152" s="15">
        <v>4</v>
      </c>
      <c r="C152">
        <v>700</v>
      </c>
      <c r="D152">
        <v>700</v>
      </c>
      <c r="E152" s="4">
        <f t="shared" si="35"/>
        <v>1400</v>
      </c>
      <c r="F152" s="4">
        <v>75</v>
      </c>
      <c r="G152" s="4">
        <f t="shared" si="34"/>
        <v>1325</v>
      </c>
      <c r="H152" s="5">
        <f t="shared" si="37"/>
        <v>5.3571428571428568E-2</v>
      </c>
      <c r="J152" s="74" t="e">
        <f t="shared" si="36"/>
        <v>#DIV/0!</v>
      </c>
    </row>
    <row r="153" spans="1:10">
      <c r="B153" s="15">
        <v>5</v>
      </c>
      <c r="C153">
        <v>400</v>
      </c>
      <c r="D153">
        <v>400</v>
      </c>
      <c r="E153" s="4">
        <f t="shared" si="35"/>
        <v>800</v>
      </c>
      <c r="F153" s="4">
        <v>40</v>
      </c>
      <c r="G153" s="4">
        <f t="shared" si="34"/>
        <v>760</v>
      </c>
      <c r="H153" s="5">
        <f t="shared" si="37"/>
        <v>0.05</v>
      </c>
      <c r="J153" s="74" t="e">
        <f t="shared" si="36"/>
        <v>#DIV/0!</v>
      </c>
    </row>
    <row r="154" spans="1:10">
      <c r="B154" s="4">
        <v>6</v>
      </c>
      <c r="C154">
        <v>700</v>
      </c>
      <c r="D154">
        <v>700</v>
      </c>
      <c r="E154" s="4">
        <f t="shared" si="35"/>
        <v>1400</v>
      </c>
      <c r="F154" s="4">
        <v>110</v>
      </c>
      <c r="G154" s="4">
        <f t="shared" si="34"/>
        <v>1290</v>
      </c>
      <c r="H154" s="5">
        <f t="shared" si="37"/>
        <v>7.857142857142857E-2</v>
      </c>
      <c r="J154" s="74" t="e">
        <f t="shared" si="36"/>
        <v>#DIV/0!</v>
      </c>
    </row>
    <row r="155" spans="1:10">
      <c r="A155" s="2">
        <v>45864</v>
      </c>
      <c r="B155" s="4">
        <v>1</v>
      </c>
      <c r="C155">
        <v>1000</v>
      </c>
      <c r="D155">
        <v>1000</v>
      </c>
      <c r="E155" s="4">
        <f t="shared" si="35"/>
        <v>2000</v>
      </c>
      <c r="F155" s="4">
        <v>65</v>
      </c>
      <c r="G155" s="4">
        <f t="shared" si="34"/>
        <v>1935</v>
      </c>
      <c r="H155" s="5">
        <f t="shared" si="37"/>
        <v>3.2500000000000001E-2</v>
      </c>
      <c r="J155" s="74" t="e">
        <f t="shared" si="36"/>
        <v>#DIV/0!</v>
      </c>
    </row>
    <row r="156" spans="1:10">
      <c r="B156" s="15">
        <v>2</v>
      </c>
      <c r="C156">
        <v>0</v>
      </c>
      <c r="D156">
        <v>0</v>
      </c>
      <c r="E156" s="4">
        <f t="shared" si="35"/>
        <v>0</v>
      </c>
      <c r="F156" s="4">
        <v>0</v>
      </c>
      <c r="G156" s="4">
        <f t="shared" si="34"/>
        <v>0</v>
      </c>
      <c r="H156" s="5" t="e">
        <f t="shared" si="37"/>
        <v>#DIV/0!</v>
      </c>
      <c r="J156" s="74" t="e">
        <f t="shared" si="36"/>
        <v>#DIV/0!</v>
      </c>
    </row>
    <row r="157" spans="1:10">
      <c r="B157" s="4">
        <v>3</v>
      </c>
      <c r="C157">
        <v>450</v>
      </c>
      <c r="D157">
        <v>450</v>
      </c>
      <c r="E157" s="4">
        <f t="shared" si="35"/>
        <v>900</v>
      </c>
      <c r="F157" s="4">
        <v>25</v>
      </c>
      <c r="G157" s="4">
        <f t="shared" si="34"/>
        <v>875</v>
      </c>
      <c r="H157" s="5">
        <f t="shared" si="37"/>
        <v>2.7777777777777776E-2</v>
      </c>
      <c r="J157" s="74" t="e">
        <f t="shared" si="36"/>
        <v>#DIV/0!</v>
      </c>
    </row>
    <row r="158" spans="1:10">
      <c r="B158" s="15">
        <v>4</v>
      </c>
      <c r="C158">
        <v>700</v>
      </c>
      <c r="D158">
        <v>700</v>
      </c>
      <c r="E158" s="4">
        <f t="shared" si="35"/>
        <v>1400</v>
      </c>
      <c r="F158" s="4">
        <v>50</v>
      </c>
      <c r="G158" s="4">
        <f t="shared" si="34"/>
        <v>1350</v>
      </c>
      <c r="H158" s="5">
        <f t="shared" si="37"/>
        <v>3.5714285714285712E-2</v>
      </c>
      <c r="J158" s="74" t="e">
        <f t="shared" si="36"/>
        <v>#DIV/0!</v>
      </c>
    </row>
    <row r="159" spans="1:10">
      <c r="B159" s="15">
        <v>5</v>
      </c>
      <c r="C159">
        <v>400</v>
      </c>
      <c r="D159">
        <v>400</v>
      </c>
      <c r="E159" s="4">
        <f t="shared" si="35"/>
        <v>800</v>
      </c>
      <c r="F159" s="4">
        <v>35</v>
      </c>
      <c r="G159" s="4">
        <f t="shared" si="34"/>
        <v>765</v>
      </c>
      <c r="H159" s="5">
        <f t="shared" si="37"/>
        <v>4.3749999999999997E-2</v>
      </c>
      <c r="J159" s="74" t="e">
        <f t="shared" si="36"/>
        <v>#DIV/0!</v>
      </c>
    </row>
    <row r="160" spans="1:10">
      <c r="B160" s="4">
        <v>6</v>
      </c>
      <c r="C160">
        <v>700</v>
      </c>
      <c r="D160">
        <v>700</v>
      </c>
      <c r="E160" s="4">
        <f t="shared" si="35"/>
        <v>1400</v>
      </c>
      <c r="F160" s="4">
        <v>90</v>
      </c>
      <c r="G160" s="4">
        <f t="shared" si="34"/>
        <v>1310</v>
      </c>
      <c r="H160" s="5">
        <f t="shared" si="37"/>
        <v>6.4285714285714279E-2</v>
      </c>
      <c r="J160" s="74" t="e">
        <f t="shared" si="36"/>
        <v>#DIV/0!</v>
      </c>
    </row>
    <row r="161" spans="1:10">
      <c r="A161" s="2">
        <v>45865</v>
      </c>
      <c r="B161" s="4">
        <v>1</v>
      </c>
      <c r="C161">
        <v>1000</v>
      </c>
      <c r="D161">
        <v>1000</v>
      </c>
      <c r="E161" s="4">
        <f t="shared" si="35"/>
        <v>2000</v>
      </c>
      <c r="F161" s="4">
        <v>35</v>
      </c>
      <c r="G161" s="4">
        <f t="shared" si="34"/>
        <v>1965</v>
      </c>
      <c r="H161" s="5">
        <f t="shared" si="37"/>
        <v>1.7500000000000002E-2</v>
      </c>
      <c r="J161" s="74" t="e">
        <f t="shared" si="36"/>
        <v>#DIV/0!</v>
      </c>
    </row>
    <row r="162" spans="1:10">
      <c r="B162" s="15">
        <v>2</v>
      </c>
      <c r="C162">
        <v>0</v>
      </c>
      <c r="D162">
        <v>0</v>
      </c>
      <c r="E162" s="4">
        <f t="shared" si="35"/>
        <v>0</v>
      </c>
      <c r="F162" s="4">
        <v>0</v>
      </c>
      <c r="G162" s="4">
        <f t="shared" si="34"/>
        <v>0</v>
      </c>
      <c r="H162" s="5" t="e">
        <f t="shared" si="37"/>
        <v>#DIV/0!</v>
      </c>
      <c r="J162" s="74" t="e">
        <f t="shared" si="36"/>
        <v>#DIV/0!</v>
      </c>
    </row>
    <row r="163" spans="1:10">
      <c r="B163" s="4">
        <v>3</v>
      </c>
      <c r="C163">
        <v>450</v>
      </c>
      <c r="D163">
        <v>450</v>
      </c>
      <c r="E163" s="4">
        <f t="shared" si="35"/>
        <v>900</v>
      </c>
      <c r="F163" s="4">
        <v>20</v>
      </c>
      <c r="G163" s="4">
        <f t="shared" si="34"/>
        <v>880</v>
      </c>
      <c r="H163" s="5">
        <f t="shared" si="37"/>
        <v>2.2222222222222223E-2</v>
      </c>
      <c r="J163" s="74" t="e">
        <f t="shared" si="36"/>
        <v>#DIV/0!</v>
      </c>
    </row>
    <row r="164" spans="1:10">
      <c r="B164" s="15">
        <v>4</v>
      </c>
      <c r="C164">
        <v>700</v>
      </c>
      <c r="D164">
        <v>700</v>
      </c>
      <c r="E164" s="4">
        <f t="shared" si="35"/>
        <v>1400</v>
      </c>
      <c r="F164" s="4">
        <v>65</v>
      </c>
      <c r="G164" s="4">
        <f t="shared" si="34"/>
        <v>1335</v>
      </c>
      <c r="H164" s="5">
        <f t="shared" si="37"/>
        <v>4.642857142857143E-2</v>
      </c>
      <c r="J164" s="74" t="e">
        <f t="shared" si="36"/>
        <v>#DIV/0!</v>
      </c>
    </row>
    <row r="165" spans="1:10">
      <c r="B165" s="15">
        <v>5</v>
      </c>
      <c r="C165">
        <v>400</v>
      </c>
      <c r="D165">
        <v>400</v>
      </c>
      <c r="E165" s="4">
        <f t="shared" si="35"/>
        <v>800</v>
      </c>
      <c r="F165" s="4">
        <v>130</v>
      </c>
      <c r="G165" s="4">
        <f t="shared" si="34"/>
        <v>670</v>
      </c>
      <c r="H165" s="5">
        <f t="shared" si="37"/>
        <v>0.16250000000000001</v>
      </c>
      <c r="J165" s="74" t="e">
        <f t="shared" si="36"/>
        <v>#DIV/0!</v>
      </c>
    </row>
    <row r="166" spans="1:10">
      <c r="B166" s="4">
        <v>6</v>
      </c>
      <c r="C166">
        <v>700</v>
      </c>
      <c r="D166">
        <v>700</v>
      </c>
      <c r="E166" s="4">
        <f t="shared" si="35"/>
        <v>1400</v>
      </c>
      <c r="F166" s="4">
        <v>115</v>
      </c>
      <c r="G166" s="4">
        <f t="shared" si="34"/>
        <v>1285</v>
      </c>
      <c r="H166" s="5">
        <f t="shared" si="37"/>
        <v>8.2142857142857142E-2</v>
      </c>
      <c r="J166" s="74" t="e">
        <f t="shared" si="36"/>
        <v>#DIV/0!</v>
      </c>
    </row>
    <row r="167" spans="1:10">
      <c r="A167" s="2">
        <v>45866</v>
      </c>
      <c r="B167" s="4">
        <v>1</v>
      </c>
      <c r="C167">
        <v>1000</v>
      </c>
      <c r="D167">
        <v>1100</v>
      </c>
      <c r="E167" s="4">
        <f t="shared" ref="E167:E178" si="38">$C167+D167</f>
        <v>2100</v>
      </c>
      <c r="F167" s="4">
        <v>10</v>
      </c>
      <c r="G167" s="4">
        <f t="shared" si="34"/>
        <v>2090</v>
      </c>
      <c r="H167" s="5">
        <f t="shared" si="37"/>
        <v>4.7619047619047623E-3</v>
      </c>
      <c r="J167" s="74" t="e">
        <f t="shared" si="36"/>
        <v>#DIV/0!</v>
      </c>
    </row>
    <row r="168" spans="1:10">
      <c r="B168" s="15">
        <v>2</v>
      </c>
      <c r="C168">
        <v>0</v>
      </c>
      <c r="D168">
        <v>1000</v>
      </c>
      <c r="E168" s="4">
        <f t="shared" si="38"/>
        <v>1000</v>
      </c>
      <c r="F168" s="4">
        <v>0</v>
      </c>
      <c r="G168" s="4">
        <f t="shared" si="34"/>
        <v>1000</v>
      </c>
      <c r="H168" s="5">
        <f t="shared" si="37"/>
        <v>0</v>
      </c>
      <c r="J168" s="74" t="e">
        <f t="shared" si="36"/>
        <v>#DIV/0!</v>
      </c>
    </row>
    <row r="169" spans="1:10">
      <c r="B169" s="4">
        <v>3</v>
      </c>
      <c r="C169">
        <v>450</v>
      </c>
      <c r="D169">
        <v>450</v>
      </c>
      <c r="E169" s="4">
        <f t="shared" si="38"/>
        <v>900</v>
      </c>
      <c r="F169" s="4">
        <v>0</v>
      </c>
      <c r="G169" s="4">
        <f t="shared" si="34"/>
        <v>900</v>
      </c>
      <c r="H169" s="5">
        <f t="shared" si="37"/>
        <v>0</v>
      </c>
      <c r="J169" s="74" t="e">
        <f t="shared" si="36"/>
        <v>#DIV/0!</v>
      </c>
    </row>
    <row r="170" spans="1:10">
      <c r="B170" s="15">
        <v>4</v>
      </c>
      <c r="C170">
        <v>700</v>
      </c>
      <c r="D170">
        <v>700</v>
      </c>
      <c r="E170" s="4">
        <f t="shared" si="38"/>
        <v>1400</v>
      </c>
      <c r="F170" s="4">
        <v>20</v>
      </c>
      <c r="G170" s="4">
        <f t="shared" si="34"/>
        <v>1380</v>
      </c>
      <c r="H170" s="5">
        <f t="shared" si="37"/>
        <v>1.4285714285714285E-2</v>
      </c>
      <c r="J170" s="74" t="e">
        <f t="shared" si="36"/>
        <v>#DIV/0!</v>
      </c>
    </row>
    <row r="171" spans="1:10">
      <c r="B171" s="15">
        <v>5</v>
      </c>
      <c r="C171">
        <v>400</v>
      </c>
      <c r="D171">
        <v>400</v>
      </c>
      <c r="E171" s="4">
        <f t="shared" si="38"/>
        <v>800</v>
      </c>
      <c r="F171" s="4">
        <v>100</v>
      </c>
      <c r="G171" s="4">
        <f t="shared" si="34"/>
        <v>700</v>
      </c>
      <c r="H171" s="5">
        <f t="shared" si="37"/>
        <v>0.125</v>
      </c>
      <c r="J171" s="74" t="e">
        <f t="shared" si="36"/>
        <v>#DIV/0!</v>
      </c>
    </row>
    <row r="172" spans="1:10">
      <c r="B172" s="4">
        <v>6</v>
      </c>
      <c r="C172">
        <v>700</v>
      </c>
      <c r="D172">
        <v>700</v>
      </c>
      <c r="E172" s="4">
        <f t="shared" si="38"/>
        <v>1400</v>
      </c>
      <c r="F172" s="4">
        <v>35</v>
      </c>
      <c r="G172" s="4">
        <f t="shared" si="34"/>
        <v>1365</v>
      </c>
      <c r="H172" s="5">
        <f t="shared" si="37"/>
        <v>2.5000000000000001E-2</v>
      </c>
      <c r="J172" s="74" t="e">
        <f t="shared" si="36"/>
        <v>#DIV/0!</v>
      </c>
    </row>
    <row r="173" spans="1:10">
      <c r="A173" s="2">
        <v>45867</v>
      </c>
      <c r="B173" s="4">
        <v>1</v>
      </c>
      <c r="C173">
        <v>1100</v>
      </c>
      <c r="D173">
        <v>1100</v>
      </c>
      <c r="E173" s="4">
        <f t="shared" si="38"/>
        <v>2200</v>
      </c>
      <c r="F173" s="4">
        <v>75</v>
      </c>
      <c r="G173" s="4">
        <f t="shared" si="34"/>
        <v>2125</v>
      </c>
      <c r="H173" s="5">
        <f t="shared" si="37"/>
        <v>3.4090909090909088E-2</v>
      </c>
      <c r="J173" s="74" t="e">
        <f t="shared" si="36"/>
        <v>#DIV/0!</v>
      </c>
    </row>
    <row r="174" spans="1:10">
      <c r="B174" s="15">
        <v>2</v>
      </c>
      <c r="C174">
        <v>0</v>
      </c>
      <c r="D174">
        <v>0</v>
      </c>
      <c r="E174" s="4">
        <f t="shared" si="38"/>
        <v>0</v>
      </c>
      <c r="F174" s="4">
        <v>0</v>
      </c>
      <c r="G174" s="4">
        <f t="shared" si="34"/>
        <v>0</v>
      </c>
      <c r="H174" s="5" t="e">
        <f t="shared" si="37"/>
        <v>#DIV/0!</v>
      </c>
      <c r="J174" s="74" t="e">
        <f t="shared" si="36"/>
        <v>#DIV/0!</v>
      </c>
    </row>
    <row r="175" spans="1:10">
      <c r="B175" s="4">
        <v>3</v>
      </c>
      <c r="C175">
        <v>450</v>
      </c>
      <c r="D175">
        <v>450</v>
      </c>
      <c r="E175" s="4">
        <f t="shared" si="38"/>
        <v>900</v>
      </c>
      <c r="F175" s="4">
        <v>50</v>
      </c>
      <c r="G175" s="4">
        <f t="shared" si="34"/>
        <v>850</v>
      </c>
      <c r="H175" s="5">
        <f t="shared" si="37"/>
        <v>5.5555555555555552E-2</v>
      </c>
      <c r="J175" s="74" t="e">
        <f t="shared" si="36"/>
        <v>#DIV/0!</v>
      </c>
    </row>
    <row r="176" spans="1:10">
      <c r="B176" s="15">
        <v>4</v>
      </c>
      <c r="C176">
        <v>750</v>
      </c>
      <c r="D176">
        <v>750</v>
      </c>
      <c r="E176" s="4">
        <f t="shared" si="38"/>
        <v>1500</v>
      </c>
      <c r="F176" s="4">
        <v>40</v>
      </c>
      <c r="G176" s="4">
        <f t="shared" si="34"/>
        <v>1460</v>
      </c>
      <c r="H176" s="5">
        <f t="shared" si="37"/>
        <v>2.6666666666666668E-2</v>
      </c>
      <c r="J176" s="74" t="e">
        <f t="shared" si="36"/>
        <v>#DIV/0!</v>
      </c>
    </row>
    <row r="177" spans="1:10">
      <c r="B177" s="15">
        <v>5</v>
      </c>
      <c r="C177">
        <v>400</v>
      </c>
      <c r="D177">
        <v>400</v>
      </c>
      <c r="E177" s="4">
        <f t="shared" si="38"/>
        <v>800</v>
      </c>
      <c r="F177" s="4">
        <v>25</v>
      </c>
      <c r="G177" s="4">
        <f t="shared" si="34"/>
        <v>775</v>
      </c>
      <c r="H177" s="5">
        <f t="shared" si="37"/>
        <v>3.125E-2</v>
      </c>
      <c r="J177" s="74" t="e">
        <f t="shared" si="36"/>
        <v>#DIV/0!</v>
      </c>
    </row>
    <row r="178" spans="1:10">
      <c r="B178" s="4">
        <v>6</v>
      </c>
      <c r="C178">
        <v>750</v>
      </c>
      <c r="D178">
        <v>750</v>
      </c>
      <c r="E178" s="4">
        <f t="shared" si="38"/>
        <v>1500</v>
      </c>
      <c r="F178" s="4">
        <v>0</v>
      </c>
      <c r="G178" s="4">
        <f t="shared" si="34"/>
        <v>1500</v>
      </c>
      <c r="H178" s="5">
        <f t="shared" si="37"/>
        <v>0</v>
      </c>
      <c r="J178" s="74" t="e">
        <f t="shared" si="36"/>
        <v>#DIV/0!</v>
      </c>
    </row>
    <row r="179" spans="1:10">
      <c r="A179" s="2">
        <v>45868</v>
      </c>
      <c r="B179" s="4">
        <v>1</v>
      </c>
      <c r="C179">
        <v>1000</v>
      </c>
      <c r="D179">
        <v>1000</v>
      </c>
      <c r="E179" s="4">
        <f t="shared" si="35"/>
        <v>2000</v>
      </c>
      <c r="F179" s="4">
        <v>55</v>
      </c>
      <c r="G179" s="4">
        <f t="shared" si="34"/>
        <v>1945</v>
      </c>
      <c r="H179" s="5">
        <f t="shared" si="37"/>
        <v>2.75E-2</v>
      </c>
      <c r="J179" s="74" t="e">
        <f t="shared" si="36"/>
        <v>#DIV/0!</v>
      </c>
    </row>
    <row r="180" spans="1:10">
      <c r="B180" s="15">
        <v>2</v>
      </c>
      <c r="C180">
        <v>0</v>
      </c>
      <c r="D180">
        <v>0</v>
      </c>
      <c r="E180" s="4">
        <f t="shared" si="35"/>
        <v>0</v>
      </c>
      <c r="F180" s="4">
        <v>0</v>
      </c>
      <c r="G180" s="4">
        <f t="shared" si="34"/>
        <v>0</v>
      </c>
      <c r="H180" s="5" t="e">
        <f t="shared" si="37"/>
        <v>#DIV/0!</v>
      </c>
      <c r="J180" s="74" t="e">
        <f t="shared" si="36"/>
        <v>#DIV/0!</v>
      </c>
    </row>
    <row r="181" spans="1:10">
      <c r="B181" s="4">
        <v>3</v>
      </c>
      <c r="C181">
        <v>500</v>
      </c>
      <c r="D181">
        <v>500</v>
      </c>
      <c r="E181" s="4">
        <f t="shared" si="35"/>
        <v>1000</v>
      </c>
      <c r="F181" s="4">
        <v>30</v>
      </c>
      <c r="G181" s="4">
        <f t="shared" si="34"/>
        <v>970</v>
      </c>
      <c r="H181" s="5">
        <f t="shared" si="37"/>
        <v>0.03</v>
      </c>
      <c r="J181" s="74" t="e">
        <f t="shared" si="36"/>
        <v>#DIV/0!</v>
      </c>
    </row>
    <row r="182" spans="1:10">
      <c r="B182" s="15">
        <v>4</v>
      </c>
      <c r="C182">
        <v>700</v>
      </c>
      <c r="D182">
        <v>700</v>
      </c>
      <c r="E182" s="4">
        <f t="shared" si="35"/>
        <v>1400</v>
      </c>
      <c r="F182" s="4">
        <v>65</v>
      </c>
      <c r="G182" s="4">
        <f t="shared" ref="G182:G190" si="39">$E182-F182</f>
        <v>1335</v>
      </c>
      <c r="H182" s="5">
        <f t="shared" si="37"/>
        <v>4.642857142857143E-2</v>
      </c>
      <c r="J182" s="74" t="e">
        <f t="shared" si="36"/>
        <v>#DIV/0!</v>
      </c>
    </row>
    <row r="183" spans="1:10">
      <c r="B183" s="15">
        <v>5</v>
      </c>
      <c r="C183">
        <v>400</v>
      </c>
      <c r="D183">
        <v>400</v>
      </c>
      <c r="E183" s="4">
        <f t="shared" si="35"/>
        <v>800</v>
      </c>
      <c r="F183" s="4">
        <v>25</v>
      </c>
      <c r="G183" s="4">
        <f t="shared" si="39"/>
        <v>775</v>
      </c>
      <c r="H183" s="5">
        <f t="shared" si="37"/>
        <v>3.125E-2</v>
      </c>
      <c r="J183" s="74" t="e">
        <f t="shared" si="36"/>
        <v>#DIV/0!</v>
      </c>
    </row>
    <row r="184" spans="1:10">
      <c r="B184" s="4">
        <v>6</v>
      </c>
      <c r="C184">
        <v>700</v>
      </c>
      <c r="D184">
        <v>700</v>
      </c>
      <c r="E184" s="4">
        <f t="shared" si="35"/>
        <v>1400</v>
      </c>
      <c r="F184" s="4">
        <v>80</v>
      </c>
      <c r="G184" s="4">
        <f t="shared" si="39"/>
        <v>1320</v>
      </c>
      <c r="H184" s="5">
        <f t="shared" si="37"/>
        <v>5.7142857142857141E-2</v>
      </c>
      <c r="J184" s="74" t="e">
        <f t="shared" si="36"/>
        <v>#DIV/0!</v>
      </c>
    </row>
    <row r="185" spans="1:10">
      <c r="A185" s="2">
        <v>45869</v>
      </c>
      <c r="B185" s="4">
        <v>1</v>
      </c>
      <c r="C185">
        <v>1000</v>
      </c>
      <c r="D185">
        <v>1000</v>
      </c>
      <c r="E185" s="4">
        <f t="shared" si="35"/>
        <v>2000</v>
      </c>
      <c r="F185" s="4">
        <v>70</v>
      </c>
      <c r="G185" s="4">
        <f t="shared" si="39"/>
        <v>1930</v>
      </c>
      <c r="H185" s="5">
        <f t="shared" si="37"/>
        <v>3.5000000000000003E-2</v>
      </c>
      <c r="J185" s="74" t="e">
        <f t="shared" si="36"/>
        <v>#DIV/0!</v>
      </c>
    </row>
    <row r="186" spans="1:10">
      <c r="B186" s="15">
        <v>2</v>
      </c>
      <c r="C186">
        <v>0</v>
      </c>
      <c r="D186">
        <v>0</v>
      </c>
      <c r="E186" s="4">
        <f t="shared" si="35"/>
        <v>0</v>
      </c>
      <c r="F186" s="4">
        <v>0</v>
      </c>
      <c r="G186" s="4">
        <f t="shared" si="39"/>
        <v>0</v>
      </c>
      <c r="H186" s="5" t="e">
        <f t="shared" si="37"/>
        <v>#DIV/0!</v>
      </c>
      <c r="J186" s="74" t="e">
        <f t="shared" si="36"/>
        <v>#DIV/0!</v>
      </c>
    </row>
    <row r="187" spans="1:10">
      <c r="B187" s="4">
        <v>3</v>
      </c>
      <c r="C187">
        <v>500</v>
      </c>
      <c r="D187">
        <v>500</v>
      </c>
      <c r="E187" s="4">
        <f t="shared" si="35"/>
        <v>1000</v>
      </c>
      <c r="F187" s="4">
        <v>20</v>
      </c>
      <c r="G187" s="4">
        <f t="shared" si="39"/>
        <v>980</v>
      </c>
      <c r="H187" s="5">
        <f t="shared" si="37"/>
        <v>0.02</v>
      </c>
      <c r="J187" s="74" t="e">
        <f t="shared" si="36"/>
        <v>#DIV/0!</v>
      </c>
    </row>
    <row r="188" spans="1:10">
      <c r="B188" s="15">
        <v>4</v>
      </c>
      <c r="C188">
        <v>700</v>
      </c>
      <c r="D188">
        <v>700</v>
      </c>
      <c r="E188" s="4">
        <f t="shared" si="35"/>
        <v>1400</v>
      </c>
      <c r="F188" s="4">
        <v>50</v>
      </c>
      <c r="G188" s="4">
        <f t="shared" si="39"/>
        <v>1350</v>
      </c>
      <c r="H188" s="5">
        <f t="shared" si="37"/>
        <v>3.5714285714285712E-2</v>
      </c>
      <c r="J188" s="74" t="e">
        <f t="shared" si="36"/>
        <v>#DIV/0!</v>
      </c>
    </row>
    <row r="189" spans="1:10">
      <c r="B189" s="15">
        <v>5</v>
      </c>
      <c r="C189">
        <v>400</v>
      </c>
      <c r="D189">
        <v>400</v>
      </c>
      <c r="E189" s="4">
        <f t="shared" si="35"/>
        <v>800</v>
      </c>
      <c r="F189" s="4">
        <v>35</v>
      </c>
      <c r="G189" s="4">
        <f t="shared" si="39"/>
        <v>765</v>
      </c>
      <c r="H189" s="5">
        <f t="shared" si="37"/>
        <v>4.3749999999999997E-2</v>
      </c>
      <c r="J189" s="74" t="e">
        <f t="shared" si="36"/>
        <v>#DIV/0!</v>
      </c>
    </row>
    <row r="190" spans="1:10">
      <c r="B190" s="4">
        <v>6</v>
      </c>
      <c r="C190">
        <v>700</v>
      </c>
      <c r="D190">
        <v>700</v>
      </c>
      <c r="E190" s="4">
        <f t="shared" si="35"/>
        <v>1400</v>
      </c>
      <c r="F190" s="4">
        <v>35</v>
      </c>
      <c r="G190" s="4">
        <f t="shared" si="39"/>
        <v>1365</v>
      </c>
      <c r="H190" s="5">
        <f t="shared" si="37"/>
        <v>2.5000000000000001E-2</v>
      </c>
      <c r="J190" s="74" t="e">
        <f t="shared" si="36"/>
        <v>#DIV/0!</v>
      </c>
    </row>
    <row r="191" spans="1:10">
      <c r="H191" s="5" t="e">
        <f t="shared" si="37"/>
        <v>#DIV/0!</v>
      </c>
      <c r="J191" s="74" t="e">
        <f t="shared" si="36"/>
        <v>#DIV/0!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4308-FA4D-4699-A3C4-F0D2FECFFF07}">
  <dimension ref="A2:K190"/>
  <sheetViews>
    <sheetView zoomScaleNormal="100" workbookViewId="0">
      <pane ySplit="4" topLeftCell="A176" activePane="bottomLeft" state="frozen"/>
      <selection pane="bottomLeft" activeCell="J177" sqref="J177"/>
    </sheetView>
  </sheetViews>
  <sheetFormatPr baseColWidth="10" defaultRowHeight="14"/>
  <cols>
    <col min="3" max="10" width="10.9140625" style="4"/>
  </cols>
  <sheetData>
    <row r="2" spans="1:11">
      <c r="B2" s="98" t="s">
        <v>52</v>
      </c>
      <c r="C2" s="98"/>
      <c r="D2" s="98"/>
      <c r="E2" s="98"/>
      <c r="F2" s="98"/>
      <c r="G2" s="98"/>
      <c r="H2" s="98"/>
      <c r="I2" s="98"/>
    </row>
    <row r="3" spans="1:11" ht="14.5" thickBot="1"/>
    <row r="4" spans="1:11" ht="42.5" thickBot="1">
      <c r="A4" s="68" t="s">
        <v>0</v>
      </c>
      <c r="B4" s="69" t="s">
        <v>1</v>
      </c>
      <c r="C4" s="69" t="s">
        <v>2</v>
      </c>
      <c r="D4" s="69" t="s">
        <v>3</v>
      </c>
      <c r="E4" s="69" t="s">
        <v>5</v>
      </c>
      <c r="F4" s="71" t="s">
        <v>4</v>
      </c>
      <c r="G4" s="69" t="s">
        <v>7</v>
      </c>
      <c r="H4" s="72" t="s">
        <v>8</v>
      </c>
      <c r="I4" s="69" t="s">
        <v>44</v>
      </c>
      <c r="J4" s="79" t="s">
        <v>42</v>
      </c>
      <c r="K4" s="72" t="s">
        <v>45</v>
      </c>
    </row>
    <row r="5" spans="1:11">
      <c r="A5" s="2">
        <v>45870</v>
      </c>
      <c r="B5" s="4">
        <v>1</v>
      </c>
      <c r="C5" s="4">
        <v>1000</v>
      </c>
      <c r="D5" s="4">
        <v>1000</v>
      </c>
      <c r="E5" s="4">
        <f>$C5+D5</f>
        <v>2000</v>
      </c>
      <c r="F5" s="4">
        <v>70</v>
      </c>
      <c r="G5" s="4">
        <f>$E5-F5</f>
        <v>1930</v>
      </c>
      <c r="H5" s="5">
        <f>$F5/E5</f>
        <v>3.5000000000000003E-2</v>
      </c>
      <c r="I5" s="4">
        <v>65</v>
      </c>
      <c r="J5" s="77">
        <f t="shared" ref="J5:J52" si="0">$G5/I5</f>
        <v>29.692307692307693</v>
      </c>
      <c r="K5" s="74">
        <f t="shared" ref="K5:K53" si="1">AVERAGE(J4:J5)</f>
        <v>29.692307692307693</v>
      </c>
    </row>
    <row r="6" spans="1:11">
      <c r="B6" s="15">
        <v>2</v>
      </c>
      <c r="C6" s="4">
        <v>0</v>
      </c>
      <c r="D6" s="4">
        <v>0</v>
      </c>
      <c r="E6" s="4">
        <f t="shared" ref="E6:E69" si="2">$C6+D6</f>
        <v>0</v>
      </c>
      <c r="F6" s="4">
        <v>0</v>
      </c>
      <c r="G6" s="4">
        <f t="shared" ref="G6:G69" si="3">$E6-F6</f>
        <v>0</v>
      </c>
      <c r="H6" s="5" t="e">
        <f t="shared" ref="H6:H69" si="4">$F6/E6</f>
        <v>#DIV/0!</v>
      </c>
      <c r="I6" s="4">
        <v>0</v>
      </c>
      <c r="J6" s="77" t="e">
        <f t="shared" si="0"/>
        <v>#DIV/0!</v>
      </c>
      <c r="K6" s="74" t="e">
        <f t="shared" si="1"/>
        <v>#DIV/0!</v>
      </c>
    </row>
    <row r="7" spans="1:11">
      <c r="B7" s="4">
        <v>3</v>
      </c>
      <c r="C7" s="4">
        <v>500</v>
      </c>
      <c r="D7" s="4">
        <v>500</v>
      </c>
      <c r="E7" s="4">
        <f t="shared" si="2"/>
        <v>1000</v>
      </c>
      <c r="F7" s="4">
        <v>20</v>
      </c>
      <c r="G7" s="4">
        <f t="shared" si="3"/>
        <v>980</v>
      </c>
      <c r="H7" s="5">
        <f t="shared" si="4"/>
        <v>0.02</v>
      </c>
      <c r="I7" s="4">
        <v>21</v>
      </c>
      <c r="J7" s="77">
        <f t="shared" si="0"/>
        <v>46.666666666666664</v>
      </c>
      <c r="K7" s="74" t="e">
        <f>AVERAGE(J6:J7)</f>
        <v>#DIV/0!</v>
      </c>
    </row>
    <row r="8" spans="1:11">
      <c r="B8" s="15">
        <v>4</v>
      </c>
      <c r="C8" s="4">
        <v>700</v>
      </c>
      <c r="D8" s="4">
        <v>700</v>
      </c>
      <c r="E8" s="4">
        <f t="shared" si="2"/>
        <v>1400</v>
      </c>
      <c r="F8" s="4">
        <v>50</v>
      </c>
      <c r="G8" s="4">
        <f t="shared" si="3"/>
        <v>1350</v>
      </c>
      <c r="H8" s="5">
        <f t="shared" si="4"/>
        <v>3.5714285714285712E-2</v>
      </c>
      <c r="I8" s="4">
        <v>30</v>
      </c>
      <c r="J8" s="77">
        <f>$G8/I8</f>
        <v>45</v>
      </c>
      <c r="K8" s="74">
        <f t="shared" si="1"/>
        <v>45.833333333333329</v>
      </c>
    </row>
    <row r="9" spans="1:11">
      <c r="B9" s="15">
        <v>5</v>
      </c>
      <c r="C9" s="4">
        <v>400</v>
      </c>
      <c r="D9" s="4">
        <v>400</v>
      </c>
      <c r="E9" s="4">
        <f t="shared" si="2"/>
        <v>800</v>
      </c>
      <c r="F9" s="4">
        <v>35</v>
      </c>
      <c r="G9" s="4">
        <f t="shared" si="3"/>
        <v>765</v>
      </c>
      <c r="H9" s="5">
        <f t="shared" si="4"/>
        <v>4.3749999999999997E-2</v>
      </c>
      <c r="I9" s="4">
        <v>18</v>
      </c>
      <c r="J9" s="77">
        <f t="shared" si="0"/>
        <v>42.5</v>
      </c>
      <c r="K9" s="74">
        <f>AVERAGE(J8:J9)</f>
        <v>43.75</v>
      </c>
    </row>
    <row r="10" spans="1:11">
      <c r="B10" s="4">
        <v>6</v>
      </c>
      <c r="C10" s="4">
        <v>700</v>
      </c>
      <c r="D10" s="4">
        <v>700</v>
      </c>
      <c r="E10" s="4">
        <f t="shared" si="2"/>
        <v>1400</v>
      </c>
      <c r="F10" s="4">
        <v>35</v>
      </c>
      <c r="G10" s="4">
        <f t="shared" si="3"/>
        <v>1365</v>
      </c>
      <c r="H10" s="5">
        <f t="shared" si="4"/>
        <v>2.5000000000000001E-2</v>
      </c>
      <c r="I10" s="4">
        <v>35</v>
      </c>
      <c r="J10" s="77">
        <f t="shared" si="0"/>
        <v>39</v>
      </c>
      <c r="K10" s="74">
        <f t="shared" si="1"/>
        <v>40.75</v>
      </c>
    </row>
    <row r="11" spans="1:11">
      <c r="A11" s="2">
        <v>45871</v>
      </c>
      <c r="B11" s="4">
        <v>1</v>
      </c>
      <c r="C11" s="4">
        <v>700</v>
      </c>
      <c r="D11" s="4">
        <v>700</v>
      </c>
      <c r="E11" s="4">
        <f t="shared" si="2"/>
        <v>1400</v>
      </c>
      <c r="F11" s="4">
        <v>20</v>
      </c>
      <c r="G11" s="4">
        <f t="shared" si="3"/>
        <v>1380</v>
      </c>
      <c r="H11" s="5">
        <f t="shared" si="4"/>
        <v>1.4285714285714285E-2</v>
      </c>
      <c r="I11" s="4">
        <v>50</v>
      </c>
      <c r="J11" s="77">
        <f t="shared" si="0"/>
        <v>27.6</v>
      </c>
      <c r="K11" s="74">
        <f t="shared" si="1"/>
        <v>33.299999999999997</v>
      </c>
    </row>
    <row r="12" spans="1:11">
      <c r="B12" s="15">
        <v>2</v>
      </c>
      <c r="C12" s="4">
        <v>350</v>
      </c>
      <c r="D12" s="4">
        <v>350</v>
      </c>
      <c r="E12" s="4">
        <f t="shared" si="2"/>
        <v>700</v>
      </c>
      <c r="F12" s="4">
        <v>45</v>
      </c>
      <c r="G12" s="4">
        <f t="shared" si="3"/>
        <v>655</v>
      </c>
      <c r="H12" s="5">
        <f t="shared" si="4"/>
        <v>6.4285714285714279E-2</v>
      </c>
      <c r="I12" s="4">
        <v>15</v>
      </c>
      <c r="J12" s="77">
        <f t="shared" si="0"/>
        <v>43.666666666666664</v>
      </c>
      <c r="K12" s="74">
        <f t="shared" si="1"/>
        <v>35.633333333333333</v>
      </c>
    </row>
    <row r="13" spans="1:11">
      <c r="B13" s="4">
        <v>3</v>
      </c>
      <c r="C13" s="4">
        <v>500</v>
      </c>
      <c r="D13" s="4">
        <v>500</v>
      </c>
      <c r="E13" s="4">
        <f t="shared" si="2"/>
        <v>1000</v>
      </c>
      <c r="F13" s="4">
        <v>15</v>
      </c>
      <c r="G13" s="4">
        <f t="shared" si="3"/>
        <v>985</v>
      </c>
      <c r="H13" s="5">
        <f t="shared" si="4"/>
        <v>1.4999999999999999E-2</v>
      </c>
      <c r="I13" s="4">
        <v>21</v>
      </c>
      <c r="J13" s="77">
        <f t="shared" si="0"/>
        <v>46.904761904761905</v>
      </c>
      <c r="K13" s="74">
        <f t="shared" si="1"/>
        <v>45.285714285714285</v>
      </c>
    </row>
    <row r="14" spans="1:11">
      <c r="B14" s="15">
        <v>4</v>
      </c>
      <c r="C14" s="4">
        <v>700</v>
      </c>
      <c r="D14" s="4">
        <v>700</v>
      </c>
      <c r="E14" s="4">
        <f t="shared" si="2"/>
        <v>1400</v>
      </c>
      <c r="F14" s="4">
        <v>30</v>
      </c>
      <c r="G14" s="4">
        <f t="shared" si="3"/>
        <v>1370</v>
      </c>
      <c r="H14" s="5">
        <f t="shared" si="4"/>
        <v>2.1428571428571429E-2</v>
      </c>
      <c r="I14" s="4">
        <v>30</v>
      </c>
      <c r="J14" s="77">
        <f t="shared" si="0"/>
        <v>45.666666666666664</v>
      </c>
      <c r="K14" s="74">
        <f t="shared" si="1"/>
        <v>46.285714285714285</v>
      </c>
    </row>
    <row r="15" spans="1:11">
      <c r="B15" s="15">
        <v>5</v>
      </c>
      <c r="C15" s="4">
        <v>400</v>
      </c>
      <c r="D15" s="4">
        <v>400</v>
      </c>
      <c r="E15" s="4">
        <f t="shared" si="2"/>
        <v>800</v>
      </c>
      <c r="F15" s="4">
        <v>25</v>
      </c>
      <c r="G15" s="4">
        <f t="shared" si="3"/>
        <v>775</v>
      </c>
      <c r="H15" s="5">
        <f t="shared" si="4"/>
        <v>3.125E-2</v>
      </c>
      <c r="I15" s="4">
        <v>18</v>
      </c>
      <c r="J15" s="77">
        <f t="shared" si="0"/>
        <v>43.055555555555557</v>
      </c>
      <c r="K15" s="74">
        <f t="shared" si="1"/>
        <v>44.361111111111114</v>
      </c>
    </row>
    <row r="16" spans="1:11">
      <c r="B16" s="4">
        <v>6</v>
      </c>
      <c r="C16" s="4">
        <v>700</v>
      </c>
      <c r="D16" s="4">
        <v>700</v>
      </c>
      <c r="E16" s="4">
        <f t="shared" si="2"/>
        <v>1400</v>
      </c>
      <c r="F16" s="4">
        <v>0</v>
      </c>
      <c r="G16" s="4">
        <f t="shared" si="3"/>
        <v>1400</v>
      </c>
      <c r="H16" s="5">
        <f t="shared" si="4"/>
        <v>0</v>
      </c>
      <c r="I16" s="4">
        <v>35</v>
      </c>
      <c r="J16" s="77">
        <f t="shared" si="0"/>
        <v>40</v>
      </c>
      <c r="K16" s="74">
        <f t="shared" si="1"/>
        <v>41.527777777777779</v>
      </c>
    </row>
    <row r="17" spans="1:11">
      <c r="A17" s="2">
        <v>45872</v>
      </c>
      <c r="B17" s="4">
        <v>1</v>
      </c>
      <c r="C17" s="4">
        <v>800</v>
      </c>
      <c r="D17" s="4">
        <v>700</v>
      </c>
      <c r="E17" s="4">
        <f t="shared" si="2"/>
        <v>1500</v>
      </c>
      <c r="F17" s="4">
        <v>230</v>
      </c>
      <c r="G17" s="4">
        <f t="shared" si="3"/>
        <v>1270</v>
      </c>
      <c r="H17" s="5">
        <f t="shared" si="4"/>
        <v>0.15333333333333332</v>
      </c>
      <c r="I17" s="4">
        <v>25</v>
      </c>
      <c r="J17" s="77">
        <f t="shared" si="0"/>
        <v>50.8</v>
      </c>
      <c r="K17" s="74">
        <f t="shared" si="1"/>
        <v>45.4</v>
      </c>
    </row>
    <row r="18" spans="1:11">
      <c r="B18" s="15">
        <v>2</v>
      </c>
      <c r="C18" s="4">
        <v>350</v>
      </c>
      <c r="D18" s="4">
        <v>350</v>
      </c>
      <c r="E18" s="4">
        <f t="shared" si="2"/>
        <v>700</v>
      </c>
      <c r="F18" s="4">
        <v>75</v>
      </c>
      <c r="G18" s="4">
        <f t="shared" si="3"/>
        <v>625</v>
      </c>
      <c r="H18" s="5">
        <f t="shared" si="4"/>
        <v>0.10714285714285714</v>
      </c>
      <c r="I18" s="4">
        <v>24</v>
      </c>
      <c r="J18" s="77">
        <f t="shared" si="0"/>
        <v>26.041666666666668</v>
      </c>
      <c r="K18" s="74">
        <f t="shared" si="1"/>
        <v>38.420833333333334</v>
      </c>
    </row>
    <row r="19" spans="1:11">
      <c r="B19" s="4">
        <v>3</v>
      </c>
      <c r="C19" s="4">
        <v>550</v>
      </c>
      <c r="D19" s="4">
        <v>550</v>
      </c>
      <c r="E19" s="4">
        <f t="shared" si="2"/>
        <v>1100</v>
      </c>
      <c r="F19" s="4">
        <v>110</v>
      </c>
      <c r="G19" s="4">
        <f t="shared" si="3"/>
        <v>990</v>
      </c>
      <c r="H19" s="5">
        <f t="shared" si="4"/>
        <v>0.1</v>
      </c>
      <c r="I19" s="4">
        <v>25</v>
      </c>
      <c r="J19" s="77">
        <f t="shared" si="0"/>
        <v>39.6</v>
      </c>
      <c r="K19" s="74">
        <f t="shared" si="1"/>
        <v>32.820833333333333</v>
      </c>
    </row>
    <row r="20" spans="1:11">
      <c r="B20" s="15">
        <v>4</v>
      </c>
      <c r="C20" s="4">
        <v>750</v>
      </c>
      <c r="D20" s="4">
        <v>750</v>
      </c>
      <c r="E20" s="4">
        <f t="shared" si="2"/>
        <v>1500</v>
      </c>
      <c r="F20" s="4">
        <v>125</v>
      </c>
      <c r="G20" s="4">
        <f t="shared" si="3"/>
        <v>1375</v>
      </c>
      <c r="H20" s="5">
        <f t="shared" si="4"/>
        <v>8.3333333333333329E-2</v>
      </c>
      <c r="I20" s="4">
        <v>22</v>
      </c>
      <c r="J20" s="77">
        <f t="shared" si="0"/>
        <v>62.5</v>
      </c>
      <c r="K20" s="74">
        <f t="shared" si="1"/>
        <v>51.05</v>
      </c>
    </row>
    <row r="21" spans="1:11">
      <c r="B21" s="15">
        <v>5</v>
      </c>
      <c r="C21" s="4">
        <v>400</v>
      </c>
      <c r="D21" s="4">
        <v>400</v>
      </c>
      <c r="E21" s="4">
        <f t="shared" si="2"/>
        <v>800</v>
      </c>
      <c r="F21" s="4">
        <v>115</v>
      </c>
      <c r="G21" s="4">
        <f t="shared" si="3"/>
        <v>685</v>
      </c>
      <c r="H21" s="5">
        <f t="shared" si="4"/>
        <v>0.14374999999999999</v>
      </c>
      <c r="I21" s="4">
        <v>22</v>
      </c>
      <c r="J21" s="77">
        <f t="shared" si="0"/>
        <v>31.136363636363637</v>
      </c>
      <c r="K21" s="74">
        <f t="shared" si="1"/>
        <v>46.81818181818182</v>
      </c>
    </row>
    <row r="22" spans="1:11">
      <c r="B22" s="4">
        <v>6</v>
      </c>
      <c r="C22" s="4">
        <v>700</v>
      </c>
      <c r="D22" s="4">
        <v>700</v>
      </c>
      <c r="E22" s="4">
        <f t="shared" si="2"/>
        <v>1400</v>
      </c>
      <c r="F22" s="4">
        <v>145</v>
      </c>
      <c r="G22" s="4">
        <f t="shared" si="3"/>
        <v>1255</v>
      </c>
      <c r="H22" s="5">
        <f t="shared" si="4"/>
        <v>0.10357142857142858</v>
      </c>
      <c r="I22" s="4">
        <v>37</v>
      </c>
      <c r="J22" s="77">
        <f t="shared" si="0"/>
        <v>33.918918918918919</v>
      </c>
      <c r="K22" s="74">
        <f t="shared" si="1"/>
        <v>32.52764127764128</v>
      </c>
    </row>
    <row r="23" spans="1:11">
      <c r="A23" s="2">
        <v>45873</v>
      </c>
      <c r="B23" s="4">
        <v>1</v>
      </c>
      <c r="C23" s="4">
        <v>700</v>
      </c>
      <c r="D23" s="4">
        <v>700</v>
      </c>
      <c r="E23" s="4">
        <f t="shared" si="2"/>
        <v>1400</v>
      </c>
      <c r="F23" s="4">
        <v>100</v>
      </c>
      <c r="G23" s="4">
        <f t="shared" si="3"/>
        <v>1300</v>
      </c>
      <c r="H23" s="5">
        <f t="shared" si="4"/>
        <v>7.1428571428571425E-2</v>
      </c>
      <c r="I23" s="4">
        <v>25</v>
      </c>
      <c r="J23" s="77">
        <f t="shared" si="0"/>
        <v>52</v>
      </c>
      <c r="K23" s="74">
        <f t="shared" si="1"/>
        <v>42.95945945945946</v>
      </c>
    </row>
    <row r="24" spans="1:11">
      <c r="B24" s="15">
        <v>2</v>
      </c>
      <c r="C24" s="4">
        <v>350</v>
      </c>
      <c r="D24" s="4">
        <v>350</v>
      </c>
      <c r="E24" s="4">
        <f t="shared" si="2"/>
        <v>700</v>
      </c>
      <c r="F24" s="4">
        <v>90</v>
      </c>
      <c r="G24" s="4">
        <f t="shared" si="3"/>
        <v>610</v>
      </c>
      <c r="H24" s="5">
        <f t="shared" si="4"/>
        <v>0.12857142857142856</v>
      </c>
      <c r="I24" s="4">
        <v>24</v>
      </c>
      <c r="J24" s="77">
        <f t="shared" si="0"/>
        <v>25.416666666666668</v>
      </c>
      <c r="K24" s="74">
        <f t="shared" si="1"/>
        <v>38.708333333333336</v>
      </c>
    </row>
    <row r="25" spans="1:11">
      <c r="B25" s="4">
        <v>3</v>
      </c>
      <c r="C25" s="4">
        <v>500</v>
      </c>
      <c r="D25" s="4">
        <v>500</v>
      </c>
      <c r="E25" s="4">
        <f t="shared" si="2"/>
        <v>1000</v>
      </c>
      <c r="F25" s="4">
        <v>45</v>
      </c>
      <c r="G25" s="4">
        <f t="shared" si="3"/>
        <v>955</v>
      </c>
      <c r="H25" s="5">
        <f t="shared" si="4"/>
        <v>4.4999999999999998E-2</v>
      </c>
      <c r="I25" s="4">
        <v>25</v>
      </c>
      <c r="J25" s="77">
        <f t="shared" si="0"/>
        <v>38.200000000000003</v>
      </c>
      <c r="K25" s="74">
        <f t="shared" si="1"/>
        <v>31.808333333333337</v>
      </c>
    </row>
    <row r="26" spans="1:11">
      <c r="B26" s="15">
        <v>4</v>
      </c>
      <c r="C26" s="4">
        <v>700</v>
      </c>
      <c r="D26" s="4">
        <v>700</v>
      </c>
      <c r="E26" s="4">
        <f t="shared" si="2"/>
        <v>1400</v>
      </c>
      <c r="F26" s="4">
        <v>120</v>
      </c>
      <c r="G26" s="4">
        <f t="shared" si="3"/>
        <v>1280</v>
      </c>
      <c r="H26" s="5">
        <f t="shared" si="4"/>
        <v>8.5714285714285715E-2</v>
      </c>
      <c r="I26" s="4">
        <v>22</v>
      </c>
      <c r="J26" s="77">
        <f t="shared" si="0"/>
        <v>58.18181818181818</v>
      </c>
      <c r="K26" s="74">
        <f t="shared" si="1"/>
        <v>48.190909090909088</v>
      </c>
    </row>
    <row r="27" spans="1:11">
      <c r="B27" s="15">
        <v>5</v>
      </c>
      <c r="C27" s="4">
        <v>400</v>
      </c>
      <c r="D27" s="4">
        <v>400</v>
      </c>
      <c r="E27" s="4">
        <f t="shared" si="2"/>
        <v>800</v>
      </c>
      <c r="F27" s="4">
        <v>90</v>
      </c>
      <c r="G27" s="4">
        <f t="shared" si="3"/>
        <v>710</v>
      </c>
      <c r="H27" s="5">
        <f t="shared" si="4"/>
        <v>0.1125</v>
      </c>
      <c r="I27" s="4">
        <v>22</v>
      </c>
      <c r="J27" s="77">
        <f t="shared" si="0"/>
        <v>32.272727272727273</v>
      </c>
      <c r="K27" s="74">
        <f t="shared" si="1"/>
        <v>45.227272727272727</v>
      </c>
    </row>
    <row r="28" spans="1:11">
      <c r="B28" s="4">
        <v>6</v>
      </c>
      <c r="C28" s="4">
        <v>700</v>
      </c>
      <c r="D28" s="4">
        <v>700</v>
      </c>
      <c r="E28" s="4">
        <f t="shared" si="2"/>
        <v>1400</v>
      </c>
      <c r="F28" s="4">
        <v>110</v>
      </c>
      <c r="G28" s="4">
        <f t="shared" si="3"/>
        <v>1290</v>
      </c>
      <c r="H28" s="5">
        <f t="shared" si="4"/>
        <v>7.857142857142857E-2</v>
      </c>
      <c r="I28" s="4">
        <v>37</v>
      </c>
      <c r="J28" s="77">
        <f t="shared" si="0"/>
        <v>34.864864864864863</v>
      </c>
      <c r="K28" s="74">
        <f t="shared" si="1"/>
        <v>33.568796068796068</v>
      </c>
    </row>
    <row r="29" spans="1:11">
      <c r="A29" s="2">
        <v>45874</v>
      </c>
      <c r="B29" s="4">
        <v>1</v>
      </c>
      <c r="C29" s="4">
        <v>700</v>
      </c>
      <c r="D29" s="4">
        <v>700</v>
      </c>
      <c r="E29" s="4">
        <f t="shared" si="2"/>
        <v>1400</v>
      </c>
      <c r="F29" s="4">
        <v>175</v>
      </c>
      <c r="G29" s="4">
        <f t="shared" si="3"/>
        <v>1225</v>
      </c>
      <c r="H29" s="5">
        <f t="shared" si="4"/>
        <v>0.125</v>
      </c>
      <c r="I29" s="4">
        <v>25</v>
      </c>
      <c r="J29" s="77">
        <f t="shared" si="0"/>
        <v>49</v>
      </c>
      <c r="K29" s="74">
        <f t="shared" si="1"/>
        <v>41.932432432432435</v>
      </c>
    </row>
    <row r="30" spans="1:11">
      <c r="B30" s="15">
        <v>2</v>
      </c>
      <c r="C30" s="4">
        <v>350</v>
      </c>
      <c r="D30" s="4">
        <v>350</v>
      </c>
      <c r="E30" s="4">
        <f t="shared" si="2"/>
        <v>700</v>
      </c>
      <c r="F30" s="4">
        <v>55</v>
      </c>
      <c r="G30" s="4">
        <f t="shared" si="3"/>
        <v>645</v>
      </c>
      <c r="H30" s="5">
        <f t="shared" si="4"/>
        <v>7.857142857142857E-2</v>
      </c>
      <c r="I30" s="4">
        <v>24</v>
      </c>
      <c r="J30" s="77">
        <f t="shared" si="0"/>
        <v>26.875</v>
      </c>
      <c r="K30" s="74">
        <f t="shared" si="1"/>
        <v>37.9375</v>
      </c>
    </row>
    <row r="31" spans="1:11">
      <c r="B31" s="4">
        <v>3</v>
      </c>
      <c r="C31" s="4">
        <v>500</v>
      </c>
      <c r="D31" s="4">
        <v>500</v>
      </c>
      <c r="E31" s="4">
        <f t="shared" si="2"/>
        <v>1000</v>
      </c>
      <c r="F31" s="4">
        <v>110</v>
      </c>
      <c r="G31" s="4">
        <f t="shared" si="3"/>
        <v>890</v>
      </c>
      <c r="H31" s="5">
        <f t="shared" si="4"/>
        <v>0.11</v>
      </c>
      <c r="I31" s="4">
        <v>25</v>
      </c>
      <c r="J31" s="77">
        <f t="shared" si="0"/>
        <v>35.6</v>
      </c>
      <c r="K31" s="74">
        <f t="shared" si="1"/>
        <v>31.237500000000001</v>
      </c>
    </row>
    <row r="32" spans="1:11">
      <c r="B32" s="15">
        <v>4</v>
      </c>
      <c r="C32" s="4">
        <v>700</v>
      </c>
      <c r="D32" s="4">
        <v>700</v>
      </c>
      <c r="E32" s="4">
        <f t="shared" si="2"/>
        <v>1400</v>
      </c>
      <c r="F32" s="4">
        <v>40</v>
      </c>
      <c r="G32" s="4">
        <f t="shared" si="3"/>
        <v>1360</v>
      </c>
      <c r="H32" s="5">
        <f t="shared" si="4"/>
        <v>2.8571428571428571E-2</v>
      </c>
      <c r="I32" s="4">
        <v>22</v>
      </c>
      <c r="J32" s="77">
        <f t="shared" si="0"/>
        <v>61.81818181818182</v>
      </c>
      <c r="K32" s="74">
        <f t="shared" si="1"/>
        <v>48.709090909090911</v>
      </c>
    </row>
    <row r="33" spans="1:11">
      <c r="B33" s="15">
        <v>5</v>
      </c>
      <c r="C33" s="4">
        <v>400</v>
      </c>
      <c r="D33" s="4">
        <v>400</v>
      </c>
      <c r="E33" s="4">
        <f t="shared" si="2"/>
        <v>800</v>
      </c>
      <c r="F33" s="4">
        <v>35</v>
      </c>
      <c r="G33" s="4">
        <f t="shared" si="3"/>
        <v>765</v>
      </c>
      <c r="H33" s="5">
        <f t="shared" si="4"/>
        <v>4.3749999999999997E-2</v>
      </c>
      <c r="I33" s="4">
        <v>22</v>
      </c>
      <c r="J33" s="77">
        <f t="shared" si="0"/>
        <v>34.772727272727273</v>
      </c>
      <c r="K33" s="74">
        <f t="shared" si="1"/>
        <v>48.295454545454547</v>
      </c>
    </row>
    <row r="34" spans="1:11">
      <c r="B34" s="4">
        <v>6</v>
      </c>
      <c r="C34" s="4">
        <v>700</v>
      </c>
      <c r="D34" s="4">
        <v>700</v>
      </c>
      <c r="E34" s="4">
        <f t="shared" si="2"/>
        <v>1400</v>
      </c>
      <c r="F34" s="4">
        <v>95</v>
      </c>
      <c r="G34" s="4">
        <f t="shared" si="3"/>
        <v>1305</v>
      </c>
      <c r="H34" s="5">
        <f t="shared" si="4"/>
        <v>6.7857142857142852E-2</v>
      </c>
      <c r="I34" s="4">
        <v>37</v>
      </c>
      <c r="J34" s="77">
        <f t="shared" si="0"/>
        <v>35.270270270270274</v>
      </c>
      <c r="K34" s="74">
        <f t="shared" si="1"/>
        <v>35.02149877149877</v>
      </c>
    </row>
    <row r="35" spans="1:11">
      <c r="A35" s="2">
        <v>45875</v>
      </c>
      <c r="B35" s="4">
        <v>1</v>
      </c>
      <c r="C35" s="4">
        <v>700</v>
      </c>
      <c r="D35" s="4">
        <v>700</v>
      </c>
      <c r="E35" s="4">
        <f t="shared" si="2"/>
        <v>1400</v>
      </c>
      <c r="F35" s="4">
        <v>130</v>
      </c>
      <c r="G35" s="4">
        <f t="shared" si="3"/>
        <v>1270</v>
      </c>
      <c r="H35" s="5">
        <f t="shared" si="4"/>
        <v>9.285714285714286E-2</v>
      </c>
      <c r="I35" s="4">
        <v>25</v>
      </c>
      <c r="J35" s="77">
        <f t="shared" si="0"/>
        <v>50.8</v>
      </c>
      <c r="K35" s="74">
        <f t="shared" si="1"/>
        <v>43.035135135135135</v>
      </c>
    </row>
    <row r="36" spans="1:11">
      <c r="B36" s="15">
        <v>2</v>
      </c>
      <c r="C36" s="4">
        <v>350</v>
      </c>
      <c r="D36" s="4">
        <v>350</v>
      </c>
      <c r="E36" s="4">
        <f t="shared" si="2"/>
        <v>700</v>
      </c>
      <c r="F36" s="4">
        <v>55</v>
      </c>
      <c r="G36" s="4">
        <f t="shared" si="3"/>
        <v>645</v>
      </c>
      <c r="H36" s="5">
        <f t="shared" si="4"/>
        <v>7.857142857142857E-2</v>
      </c>
      <c r="I36" s="4">
        <v>24</v>
      </c>
      <c r="J36" s="77">
        <f t="shared" si="0"/>
        <v>26.875</v>
      </c>
      <c r="K36" s="74">
        <f t="shared" si="1"/>
        <v>38.837499999999999</v>
      </c>
    </row>
    <row r="37" spans="1:11">
      <c r="B37" s="4">
        <v>3</v>
      </c>
      <c r="C37" s="4">
        <v>500</v>
      </c>
      <c r="D37" s="4">
        <v>500</v>
      </c>
      <c r="E37" s="4">
        <f t="shared" si="2"/>
        <v>1000</v>
      </c>
      <c r="F37" s="4">
        <v>20</v>
      </c>
      <c r="G37" s="4">
        <f t="shared" si="3"/>
        <v>980</v>
      </c>
      <c r="H37" s="5">
        <f t="shared" si="4"/>
        <v>0.02</v>
      </c>
      <c r="I37" s="4">
        <v>25</v>
      </c>
      <c r="J37" s="77">
        <f t="shared" si="0"/>
        <v>39.200000000000003</v>
      </c>
      <c r="K37" s="74">
        <f t="shared" si="1"/>
        <v>33.037500000000001</v>
      </c>
    </row>
    <row r="38" spans="1:11">
      <c r="B38" s="15">
        <v>4</v>
      </c>
      <c r="C38" s="4">
        <v>700</v>
      </c>
      <c r="D38" s="4">
        <v>700</v>
      </c>
      <c r="E38" s="4">
        <f t="shared" si="2"/>
        <v>1400</v>
      </c>
      <c r="F38" s="4">
        <v>35</v>
      </c>
      <c r="G38" s="4">
        <f t="shared" si="3"/>
        <v>1365</v>
      </c>
      <c r="H38" s="5">
        <f t="shared" si="4"/>
        <v>2.5000000000000001E-2</v>
      </c>
      <c r="I38" s="4">
        <v>22</v>
      </c>
      <c r="J38" s="77">
        <f t="shared" si="0"/>
        <v>62.045454545454547</v>
      </c>
      <c r="K38" s="74">
        <f t="shared" si="1"/>
        <v>50.622727272727275</v>
      </c>
    </row>
    <row r="39" spans="1:11">
      <c r="B39" s="15">
        <v>5</v>
      </c>
      <c r="C39" s="4">
        <v>400</v>
      </c>
      <c r="D39" s="4">
        <v>400</v>
      </c>
      <c r="E39" s="4">
        <f t="shared" si="2"/>
        <v>800</v>
      </c>
      <c r="F39" s="4">
        <v>15</v>
      </c>
      <c r="G39" s="4">
        <f t="shared" si="3"/>
        <v>785</v>
      </c>
      <c r="H39" s="5">
        <f t="shared" si="4"/>
        <v>1.8749999999999999E-2</v>
      </c>
      <c r="I39" s="4">
        <v>22</v>
      </c>
      <c r="J39" s="77">
        <f t="shared" si="0"/>
        <v>35.68181818181818</v>
      </c>
      <c r="K39" s="74">
        <f t="shared" si="1"/>
        <v>48.86363636363636</v>
      </c>
    </row>
    <row r="40" spans="1:11">
      <c r="B40" s="4">
        <v>6</v>
      </c>
      <c r="C40" s="4">
        <v>700</v>
      </c>
      <c r="D40" s="4">
        <v>700</v>
      </c>
      <c r="E40" s="4">
        <f t="shared" si="2"/>
        <v>1400</v>
      </c>
      <c r="F40" s="4">
        <v>45</v>
      </c>
      <c r="G40" s="4">
        <f t="shared" si="3"/>
        <v>1355</v>
      </c>
      <c r="H40" s="5">
        <f t="shared" si="4"/>
        <v>3.214285714285714E-2</v>
      </c>
      <c r="I40" s="4">
        <v>35</v>
      </c>
      <c r="J40" s="77">
        <f t="shared" si="0"/>
        <v>38.714285714285715</v>
      </c>
      <c r="K40" s="74">
        <f t="shared" si="1"/>
        <v>37.198051948051948</v>
      </c>
    </row>
    <row r="41" spans="1:11">
      <c r="A41" s="2">
        <v>45876</v>
      </c>
      <c r="B41" s="4">
        <v>1</v>
      </c>
      <c r="C41" s="4">
        <v>700</v>
      </c>
      <c r="D41" s="4">
        <v>700</v>
      </c>
      <c r="E41" s="4">
        <f t="shared" si="2"/>
        <v>1400</v>
      </c>
      <c r="F41" s="4">
        <v>120</v>
      </c>
      <c r="G41" s="4">
        <f t="shared" si="3"/>
        <v>1280</v>
      </c>
      <c r="H41" s="5">
        <f t="shared" si="4"/>
        <v>8.5714285714285715E-2</v>
      </c>
      <c r="I41" s="4">
        <v>25</v>
      </c>
      <c r="J41" s="77">
        <f t="shared" si="0"/>
        <v>51.2</v>
      </c>
      <c r="K41" s="74">
        <f t="shared" si="1"/>
        <v>44.957142857142856</v>
      </c>
    </row>
    <row r="42" spans="1:11">
      <c r="B42" s="15">
        <v>2</v>
      </c>
      <c r="C42" s="4">
        <v>350</v>
      </c>
      <c r="D42" s="4">
        <v>350</v>
      </c>
      <c r="E42" s="4">
        <f t="shared" si="2"/>
        <v>700</v>
      </c>
      <c r="F42" s="4">
        <v>25</v>
      </c>
      <c r="G42" s="4">
        <f t="shared" si="3"/>
        <v>675</v>
      </c>
      <c r="H42" s="5">
        <f t="shared" si="4"/>
        <v>3.5714285714285712E-2</v>
      </c>
      <c r="I42" s="4">
        <v>24</v>
      </c>
      <c r="J42" s="77">
        <f t="shared" si="0"/>
        <v>28.125</v>
      </c>
      <c r="K42" s="74">
        <f t="shared" si="1"/>
        <v>39.662500000000001</v>
      </c>
    </row>
    <row r="43" spans="1:11">
      <c r="B43" s="4">
        <v>3</v>
      </c>
      <c r="C43" s="4">
        <v>500</v>
      </c>
      <c r="D43" s="4">
        <v>500</v>
      </c>
      <c r="E43" s="4">
        <f t="shared" si="2"/>
        <v>1000</v>
      </c>
      <c r="F43" s="4">
        <v>30</v>
      </c>
      <c r="G43" s="4">
        <f t="shared" si="3"/>
        <v>970</v>
      </c>
      <c r="H43" s="5">
        <f t="shared" si="4"/>
        <v>0.03</v>
      </c>
      <c r="I43" s="4">
        <v>22</v>
      </c>
      <c r="J43" s="77">
        <f t="shared" si="0"/>
        <v>44.090909090909093</v>
      </c>
      <c r="K43" s="74">
        <f t="shared" si="1"/>
        <v>36.107954545454547</v>
      </c>
    </row>
    <row r="44" spans="1:11">
      <c r="B44" s="15">
        <v>4</v>
      </c>
      <c r="C44" s="4">
        <v>700</v>
      </c>
      <c r="D44" s="4">
        <v>700</v>
      </c>
      <c r="E44" s="4">
        <f t="shared" si="2"/>
        <v>1400</v>
      </c>
      <c r="F44" s="4">
        <v>45</v>
      </c>
      <c r="G44" s="4">
        <f t="shared" si="3"/>
        <v>1355</v>
      </c>
      <c r="H44" s="5">
        <f t="shared" si="4"/>
        <v>3.214285714285714E-2</v>
      </c>
      <c r="I44" s="4">
        <v>22</v>
      </c>
      <c r="J44" s="77">
        <f t="shared" si="0"/>
        <v>61.590909090909093</v>
      </c>
      <c r="K44" s="74">
        <f t="shared" si="1"/>
        <v>52.840909090909093</v>
      </c>
    </row>
    <row r="45" spans="1:11">
      <c r="B45" s="15">
        <v>5</v>
      </c>
      <c r="C45" s="4">
        <v>400</v>
      </c>
      <c r="D45" s="4">
        <v>400</v>
      </c>
      <c r="E45" s="4">
        <f t="shared" si="2"/>
        <v>800</v>
      </c>
      <c r="F45" s="4">
        <v>20</v>
      </c>
      <c r="G45" s="4">
        <f t="shared" si="3"/>
        <v>780</v>
      </c>
      <c r="H45" s="5">
        <f t="shared" si="4"/>
        <v>2.5000000000000001E-2</v>
      </c>
      <c r="I45" s="4">
        <v>24</v>
      </c>
      <c r="J45" s="77">
        <f t="shared" si="0"/>
        <v>32.5</v>
      </c>
      <c r="K45" s="74">
        <f t="shared" si="1"/>
        <v>47.045454545454547</v>
      </c>
    </row>
    <row r="46" spans="1:11">
      <c r="B46" s="4">
        <v>6</v>
      </c>
      <c r="C46" s="4">
        <v>700</v>
      </c>
      <c r="D46" s="4">
        <v>700</v>
      </c>
      <c r="E46" s="4">
        <f t="shared" si="2"/>
        <v>1400</v>
      </c>
      <c r="F46" s="4">
        <v>75</v>
      </c>
      <c r="G46" s="4">
        <f t="shared" si="3"/>
        <v>1325</v>
      </c>
      <c r="H46" s="5">
        <f t="shared" si="4"/>
        <v>5.3571428571428568E-2</v>
      </c>
      <c r="I46" s="4">
        <v>37</v>
      </c>
      <c r="J46" s="77">
        <f t="shared" si="0"/>
        <v>35.810810810810814</v>
      </c>
      <c r="K46" s="74">
        <f t="shared" si="1"/>
        <v>34.155405405405403</v>
      </c>
    </row>
    <row r="47" spans="1:11">
      <c r="A47" s="2">
        <v>45877</v>
      </c>
      <c r="B47" s="4">
        <v>1</v>
      </c>
      <c r="C47" s="4">
        <v>750</v>
      </c>
      <c r="D47" s="4">
        <v>750</v>
      </c>
      <c r="E47" s="4">
        <f t="shared" si="2"/>
        <v>1500</v>
      </c>
      <c r="F47" s="4">
        <v>35</v>
      </c>
      <c r="G47" s="4">
        <f t="shared" si="3"/>
        <v>1465</v>
      </c>
      <c r="H47" s="5">
        <f t="shared" si="4"/>
        <v>2.3333333333333334E-2</v>
      </c>
      <c r="I47" s="4">
        <v>25</v>
      </c>
      <c r="J47" s="77">
        <f t="shared" si="0"/>
        <v>58.6</v>
      </c>
      <c r="K47" s="74">
        <f t="shared" si="1"/>
        <v>47.205405405405408</v>
      </c>
    </row>
    <row r="48" spans="1:11">
      <c r="B48" s="15">
        <v>2</v>
      </c>
      <c r="C48" s="4">
        <v>400</v>
      </c>
      <c r="D48" s="4">
        <v>400</v>
      </c>
      <c r="E48" s="4">
        <f t="shared" si="2"/>
        <v>800</v>
      </c>
      <c r="F48" s="4">
        <v>80</v>
      </c>
      <c r="G48" s="4">
        <f t="shared" si="3"/>
        <v>720</v>
      </c>
      <c r="H48" s="5">
        <f t="shared" si="4"/>
        <v>0.1</v>
      </c>
      <c r="I48" s="4">
        <v>24</v>
      </c>
      <c r="J48" s="77">
        <f t="shared" si="0"/>
        <v>30</v>
      </c>
      <c r="K48" s="74">
        <f t="shared" si="1"/>
        <v>44.3</v>
      </c>
    </row>
    <row r="49" spans="1:11">
      <c r="B49" s="4">
        <v>3</v>
      </c>
      <c r="C49" s="4">
        <v>500</v>
      </c>
      <c r="D49" s="4">
        <v>500</v>
      </c>
      <c r="E49" s="4">
        <f t="shared" si="2"/>
        <v>1000</v>
      </c>
      <c r="F49" s="4">
        <v>30</v>
      </c>
      <c r="G49" s="4">
        <f t="shared" si="3"/>
        <v>970</v>
      </c>
      <c r="H49" s="5">
        <f t="shared" si="4"/>
        <v>0.03</v>
      </c>
      <c r="I49" s="4">
        <v>22</v>
      </c>
      <c r="J49" s="77">
        <f t="shared" si="0"/>
        <v>44.090909090909093</v>
      </c>
      <c r="K49" s="74">
        <f t="shared" si="1"/>
        <v>37.045454545454547</v>
      </c>
    </row>
    <row r="50" spans="1:11">
      <c r="B50" s="15">
        <v>4</v>
      </c>
      <c r="C50" s="4">
        <v>700</v>
      </c>
      <c r="D50" s="4">
        <v>700</v>
      </c>
      <c r="E50" s="4">
        <f t="shared" si="2"/>
        <v>1400</v>
      </c>
      <c r="F50" s="4">
        <v>65</v>
      </c>
      <c r="G50" s="4">
        <f t="shared" si="3"/>
        <v>1335</v>
      </c>
      <c r="H50" s="5">
        <f t="shared" si="4"/>
        <v>4.642857142857143E-2</v>
      </c>
      <c r="I50" s="4">
        <v>22</v>
      </c>
      <c r="J50" s="77">
        <f t="shared" si="0"/>
        <v>60.68181818181818</v>
      </c>
      <c r="K50" s="74">
        <f t="shared" si="1"/>
        <v>52.38636363636364</v>
      </c>
    </row>
    <row r="51" spans="1:11">
      <c r="B51" s="15">
        <v>5</v>
      </c>
      <c r="C51" s="4">
        <v>400</v>
      </c>
      <c r="D51" s="4">
        <v>400</v>
      </c>
      <c r="E51" s="4">
        <f t="shared" si="2"/>
        <v>800</v>
      </c>
      <c r="F51" s="4">
        <v>20</v>
      </c>
      <c r="G51" s="4">
        <f t="shared" si="3"/>
        <v>780</v>
      </c>
      <c r="H51" s="5">
        <f t="shared" si="4"/>
        <v>2.5000000000000001E-2</v>
      </c>
      <c r="I51" s="4">
        <v>24</v>
      </c>
      <c r="J51" s="77">
        <f t="shared" si="0"/>
        <v>32.5</v>
      </c>
      <c r="K51" s="74">
        <f t="shared" si="1"/>
        <v>46.590909090909093</v>
      </c>
    </row>
    <row r="52" spans="1:11">
      <c r="B52" s="4">
        <v>6</v>
      </c>
      <c r="C52" s="4">
        <v>850</v>
      </c>
      <c r="D52" s="4">
        <v>850</v>
      </c>
      <c r="E52" s="4">
        <f t="shared" si="2"/>
        <v>1700</v>
      </c>
      <c r="F52" s="4">
        <v>45</v>
      </c>
      <c r="G52" s="4">
        <f t="shared" si="3"/>
        <v>1655</v>
      </c>
      <c r="H52" s="5">
        <f t="shared" si="4"/>
        <v>2.6470588235294117E-2</v>
      </c>
      <c r="I52" s="4">
        <v>37</v>
      </c>
      <c r="J52" s="77">
        <f t="shared" si="0"/>
        <v>44.729729729729726</v>
      </c>
      <c r="K52" s="74">
        <f t="shared" si="1"/>
        <v>38.614864864864863</v>
      </c>
    </row>
    <row r="53" spans="1:11">
      <c r="A53" s="2">
        <v>45878</v>
      </c>
      <c r="B53" s="4">
        <v>1</v>
      </c>
      <c r="C53" s="4">
        <v>800</v>
      </c>
      <c r="D53" s="4">
        <v>800</v>
      </c>
      <c r="E53" s="4">
        <f t="shared" si="2"/>
        <v>1600</v>
      </c>
      <c r="F53" s="4">
        <v>50</v>
      </c>
      <c r="G53" s="4">
        <f t="shared" si="3"/>
        <v>1550</v>
      </c>
      <c r="H53" s="5">
        <f t="shared" si="4"/>
        <v>3.125E-2</v>
      </c>
      <c r="I53" s="4">
        <v>25</v>
      </c>
      <c r="J53" s="77">
        <f>$G53/I53</f>
        <v>62</v>
      </c>
      <c r="K53" s="74">
        <f t="shared" si="1"/>
        <v>53.364864864864863</v>
      </c>
    </row>
    <row r="54" spans="1:11">
      <c r="B54" s="15">
        <v>2</v>
      </c>
      <c r="C54" s="4">
        <v>350</v>
      </c>
      <c r="D54" s="4">
        <v>350</v>
      </c>
      <c r="E54" s="4">
        <f t="shared" si="2"/>
        <v>700</v>
      </c>
      <c r="F54" s="4">
        <v>35</v>
      </c>
      <c r="G54" s="4">
        <f t="shared" si="3"/>
        <v>665</v>
      </c>
      <c r="H54" s="5">
        <f t="shared" si="4"/>
        <v>0.05</v>
      </c>
      <c r="I54" s="4">
        <v>24</v>
      </c>
      <c r="J54" s="74"/>
      <c r="K54" s="74">
        <f>AVERAGE(J53:J54)</f>
        <v>62</v>
      </c>
    </row>
    <row r="55" spans="1:11">
      <c r="B55" s="4">
        <v>3</v>
      </c>
      <c r="C55" s="4">
        <v>500</v>
      </c>
      <c r="D55" s="4">
        <v>500</v>
      </c>
      <c r="E55" s="4">
        <f t="shared" si="2"/>
        <v>1000</v>
      </c>
      <c r="F55" s="4">
        <v>20</v>
      </c>
      <c r="G55" s="4">
        <f t="shared" si="3"/>
        <v>980</v>
      </c>
      <c r="H55" s="5">
        <f t="shared" si="4"/>
        <v>0.02</v>
      </c>
      <c r="I55" s="4">
        <v>22</v>
      </c>
      <c r="J55" s="74">
        <f t="shared" ref="J55:J58" si="5">$G55/I55</f>
        <v>44.545454545454547</v>
      </c>
      <c r="K55" s="74">
        <f>AVERAGE(J55:J56)</f>
        <v>57.5</v>
      </c>
    </row>
    <row r="56" spans="1:11">
      <c r="B56" s="15">
        <v>4</v>
      </c>
      <c r="C56" s="4">
        <v>800</v>
      </c>
      <c r="D56" s="4">
        <v>800</v>
      </c>
      <c r="E56" s="4">
        <f t="shared" si="2"/>
        <v>1600</v>
      </c>
      <c r="F56" s="4">
        <v>50</v>
      </c>
      <c r="G56" s="4">
        <f t="shared" si="3"/>
        <v>1550</v>
      </c>
      <c r="H56" s="5">
        <f t="shared" si="4"/>
        <v>3.125E-2</v>
      </c>
      <c r="I56" s="4">
        <v>22</v>
      </c>
      <c r="J56" s="74">
        <f t="shared" si="5"/>
        <v>70.454545454545453</v>
      </c>
      <c r="K56" s="74"/>
    </row>
    <row r="57" spans="1:11">
      <c r="B57" s="15">
        <v>5</v>
      </c>
      <c r="C57" s="4">
        <v>450</v>
      </c>
      <c r="D57" s="4">
        <v>450</v>
      </c>
      <c r="E57" s="4">
        <f t="shared" si="2"/>
        <v>900</v>
      </c>
      <c r="F57" s="4">
        <v>35</v>
      </c>
      <c r="G57" s="4">
        <f t="shared" si="3"/>
        <v>865</v>
      </c>
      <c r="H57" s="5">
        <f t="shared" si="4"/>
        <v>3.888888888888889E-2</v>
      </c>
      <c r="I57" s="4">
        <v>24</v>
      </c>
      <c r="J57" s="74">
        <f t="shared" si="5"/>
        <v>36.041666666666664</v>
      </c>
      <c r="K57" s="74">
        <f>AVERAGE(J57:J58)</f>
        <v>41.534346846846844</v>
      </c>
    </row>
    <row r="58" spans="1:11">
      <c r="B58" s="4">
        <v>6</v>
      </c>
      <c r="C58" s="4">
        <v>900</v>
      </c>
      <c r="D58" s="4">
        <v>900</v>
      </c>
      <c r="E58" s="4">
        <f t="shared" si="2"/>
        <v>1800</v>
      </c>
      <c r="F58" s="4">
        <v>60</v>
      </c>
      <c r="G58" s="4">
        <f t="shared" si="3"/>
        <v>1740</v>
      </c>
      <c r="H58" s="5">
        <f t="shared" si="4"/>
        <v>3.3333333333333333E-2</v>
      </c>
      <c r="I58" s="4">
        <v>37</v>
      </c>
      <c r="J58" s="74">
        <f t="shared" si="5"/>
        <v>47.027027027027025</v>
      </c>
      <c r="K58" s="73"/>
    </row>
    <row r="59" spans="1:11">
      <c r="A59" s="2">
        <v>45879</v>
      </c>
      <c r="B59" s="4">
        <v>1</v>
      </c>
      <c r="C59" s="4">
        <v>750</v>
      </c>
      <c r="D59" s="4">
        <v>750</v>
      </c>
      <c r="E59" s="4">
        <f t="shared" si="2"/>
        <v>1500</v>
      </c>
      <c r="F59" s="4">
        <v>75</v>
      </c>
      <c r="G59" s="4">
        <f t="shared" si="3"/>
        <v>1425</v>
      </c>
      <c r="H59" s="5">
        <f t="shared" si="4"/>
        <v>0.05</v>
      </c>
      <c r="I59" s="4">
        <v>25</v>
      </c>
      <c r="J59" s="77">
        <f>$G59/I59</f>
        <v>57</v>
      </c>
      <c r="K59" s="78"/>
    </row>
    <row r="60" spans="1:11">
      <c r="B60" s="15">
        <v>2</v>
      </c>
      <c r="C60" s="4">
        <v>350</v>
      </c>
      <c r="D60" s="4">
        <v>350</v>
      </c>
      <c r="E60" s="4">
        <f t="shared" si="2"/>
        <v>700</v>
      </c>
      <c r="F60" s="4">
        <v>30</v>
      </c>
      <c r="G60" s="4">
        <f t="shared" si="3"/>
        <v>670</v>
      </c>
      <c r="H60" s="5">
        <f t="shared" si="4"/>
        <v>4.2857142857142858E-2</v>
      </c>
      <c r="I60" s="4">
        <v>24</v>
      </c>
      <c r="J60" s="74"/>
      <c r="K60" s="74">
        <f>AVERAGE(J59:J60)</f>
        <v>57</v>
      </c>
    </row>
    <row r="61" spans="1:11">
      <c r="B61" s="4">
        <v>3</v>
      </c>
      <c r="C61" s="4">
        <v>500</v>
      </c>
      <c r="D61" s="4">
        <v>500</v>
      </c>
      <c r="E61" s="4">
        <f t="shared" si="2"/>
        <v>1000</v>
      </c>
      <c r="F61" s="4">
        <v>15</v>
      </c>
      <c r="G61" s="4">
        <f t="shared" si="3"/>
        <v>985</v>
      </c>
      <c r="H61" s="5">
        <f t="shared" si="4"/>
        <v>1.4999999999999999E-2</v>
      </c>
      <c r="I61" s="4">
        <v>22</v>
      </c>
      <c r="J61" s="74">
        <f t="shared" ref="J61:J63" si="6">$G61/I61</f>
        <v>44.772727272727273</v>
      </c>
      <c r="K61" s="74">
        <f>AVERAGE(J61:J62)</f>
        <v>55.11363636363636</v>
      </c>
    </row>
    <row r="62" spans="1:11">
      <c r="B62" s="15">
        <v>4</v>
      </c>
      <c r="C62" s="4">
        <v>750</v>
      </c>
      <c r="D62" s="4">
        <v>750</v>
      </c>
      <c r="E62" s="4">
        <f t="shared" si="2"/>
        <v>1500</v>
      </c>
      <c r="F62" s="4">
        <v>60</v>
      </c>
      <c r="G62" s="4">
        <f t="shared" si="3"/>
        <v>1440</v>
      </c>
      <c r="H62" s="5">
        <f t="shared" si="4"/>
        <v>0.04</v>
      </c>
      <c r="I62" s="4">
        <v>22</v>
      </c>
      <c r="J62" s="74">
        <f t="shared" si="6"/>
        <v>65.454545454545453</v>
      </c>
      <c r="K62" s="74"/>
    </row>
    <row r="63" spans="1:11">
      <c r="B63" s="15">
        <v>5</v>
      </c>
      <c r="C63" s="4">
        <v>450</v>
      </c>
      <c r="D63" s="4">
        <v>450</v>
      </c>
      <c r="E63" s="4">
        <f t="shared" si="2"/>
        <v>900</v>
      </c>
      <c r="F63" s="4">
        <v>20</v>
      </c>
      <c r="G63" s="4">
        <f t="shared" si="3"/>
        <v>880</v>
      </c>
      <c r="H63" s="5">
        <f t="shared" si="4"/>
        <v>2.2222222222222223E-2</v>
      </c>
      <c r="I63" s="4">
        <v>24</v>
      </c>
      <c r="J63" s="74">
        <f t="shared" si="6"/>
        <v>36.666666666666664</v>
      </c>
      <c r="K63" s="74">
        <f>AVERAGE(J63:J64)</f>
        <v>38.130630630630634</v>
      </c>
    </row>
    <row r="64" spans="1:11">
      <c r="B64" s="4">
        <v>6</v>
      </c>
      <c r="C64" s="4">
        <v>750</v>
      </c>
      <c r="D64" s="4">
        <v>750</v>
      </c>
      <c r="E64" s="4">
        <f t="shared" si="2"/>
        <v>1500</v>
      </c>
      <c r="F64" s="4">
        <v>35</v>
      </c>
      <c r="G64" s="4">
        <f t="shared" si="3"/>
        <v>1465</v>
      </c>
      <c r="H64" s="5">
        <f t="shared" si="4"/>
        <v>2.3333333333333334E-2</v>
      </c>
      <c r="I64" s="4">
        <v>37</v>
      </c>
      <c r="J64" s="74">
        <f>$G64/I64</f>
        <v>39.594594594594597</v>
      </c>
      <c r="K64" s="74"/>
    </row>
    <row r="65" spans="1:11">
      <c r="A65" s="2">
        <v>45880</v>
      </c>
      <c r="B65" s="4">
        <v>1</v>
      </c>
      <c r="C65" s="4">
        <v>750</v>
      </c>
      <c r="D65" s="4">
        <v>750</v>
      </c>
      <c r="E65" s="4">
        <f t="shared" si="2"/>
        <v>1500</v>
      </c>
      <c r="F65" s="4">
        <v>185</v>
      </c>
      <c r="G65" s="4">
        <f t="shared" si="3"/>
        <v>1315</v>
      </c>
      <c r="H65" s="5">
        <f t="shared" si="4"/>
        <v>0.12333333333333334</v>
      </c>
      <c r="I65" s="4">
        <v>25</v>
      </c>
      <c r="J65" s="74">
        <f t="shared" ref="J65:J128" si="7">$G65/I65</f>
        <v>52.6</v>
      </c>
      <c r="K65" s="74"/>
    </row>
    <row r="66" spans="1:11">
      <c r="B66" s="15">
        <v>2</v>
      </c>
      <c r="C66" s="4">
        <v>500</v>
      </c>
      <c r="D66" s="4">
        <v>500</v>
      </c>
      <c r="E66" s="4">
        <f t="shared" si="2"/>
        <v>1000</v>
      </c>
      <c r="F66" s="4">
        <v>32</v>
      </c>
      <c r="G66" s="4">
        <f t="shared" si="3"/>
        <v>968</v>
      </c>
      <c r="H66" s="5">
        <f t="shared" si="4"/>
        <v>3.2000000000000001E-2</v>
      </c>
      <c r="I66" s="4">
        <v>24</v>
      </c>
      <c r="J66" s="74">
        <f t="shared" si="7"/>
        <v>40.333333333333336</v>
      </c>
      <c r="K66" s="74"/>
    </row>
    <row r="67" spans="1:11">
      <c r="B67" s="4">
        <v>3</v>
      </c>
      <c r="C67" s="4">
        <v>500</v>
      </c>
      <c r="D67" s="4">
        <v>500</v>
      </c>
      <c r="E67" s="4">
        <f t="shared" si="2"/>
        <v>1000</v>
      </c>
      <c r="F67" s="4">
        <v>87</v>
      </c>
      <c r="G67" s="4">
        <f t="shared" si="3"/>
        <v>913</v>
      </c>
      <c r="H67" s="5">
        <f t="shared" si="4"/>
        <v>8.6999999999999994E-2</v>
      </c>
      <c r="I67" s="4">
        <v>22</v>
      </c>
      <c r="J67" s="74">
        <f t="shared" si="7"/>
        <v>41.5</v>
      </c>
    </row>
    <row r="68" spans="1:11">
      <c r="B68" s="15">
        <v>4</v>
      </c>
      <c r="C68" s="4">
        <v>700</v>
      </c>
      <c r="D68" s="4">
        <v>700</v>
      </c>
      <c r="E68" s="4">
        <f t="shared" si="2"/>
        <v>1400</v>
      </c>
      <c r="F68" s="4">
        <v>42</v>
      </c>
      <c r="G68" s="4">
        <f t="shared" si="3"/>
        <v>1358</v>
      </c>
      <c r="H68" s="5">
        <f t="shared" si="4"/>
        <v>0.03</v>
      </c>
      <c r="I68" s="4">
        <v>22</v>
      </c>
      <c r="J68" s="74">
        <f t="shared" si="7"/>
        <v>61.727272727272727</v>
      </c>
    </row>
    <row r="69" spans="1:11">
      <c r="B69" s="15">
        <v>5</v>
      </c>
      <c r="C69" s="4">
        <v>500</v>
      </c>
      <c r="D69" s="4">
        <v>500</v>
      </c>
      <c r="E69" s="4">
        <f t="shared" si="2"/>
        <v>1000</v>
      </c>
      <c r="F69" s="4">
        <v>50</v>
      </c>
      <c r="G69" s="4">
        <f t="shared" si="3"/>
        <v>950</v>
      </c>
      <c r="H69" s="5">
        <f t="shared" si="4"/>
        <v>0.05</v>
      </c>
      <c r="I69" s="4">
        <v>24</v>
      </c>
      <c r="J69" s="74">
        <f t="shared" si="7"/>
        <v>39.583333333333336</v>
      </c>
    </row>
    <row r="70" spans="1:11">
      <c r="B70" s="4">
        <v>6</v>
      </c>
      <c r="C70" s="4">
        <v>850</v>
      </c>
      <c r="D70" s="4">
        <v>850</v>
      </c>
      <c r="E70" s="4">
        <f t="shared" ref="E70:E133" si="8">$C70+D70</f>
        <v>1700</v>
      </c>
      <c r="F70" s="4">
        <v>40</v>
      </c>
      <c r="G70" s="4">
        <f t="shared" ref="G70:G133" si="9">$E70-F70</f>
        <v>1660</v>
      </c>
      <c r="H70" s="5">
        <f t="shared" ref="H70:H133" si="10">$F70/E70</f>
        <v>2.3529411764705882E-2</v>
      </c>
      <c r="I70" s="4">
        <v>37</v>
      </c>
      <c r="J70" s="74">
        <f t="shared" si="7"/>
        <v>44.864864864864863</v>
      </c>
    </row>
    <row r="71" spans="1:11">
      <c r="A71" s="2">
        <v>45881</v>
      </c>
      <c r="B71" s="4">
        <v>1</v>
      </c>
      <c r="C71" s="4">
        <v>750</v>
      </c>
      <c r="D71" s="4">
        <v>750</v>
      </c>
      <c r="E71" s="4">
        <f t="shared" si="8"/>
        <v>1500</v>
      </c>
      <c r="F71" s="4">
        <v>245</v>
      </c>
      <c r="G71" s="4">
        <f t="shared" si="9"/>
        <v>1255</v>
      </c>
      <c r="H71" s="5">
        <f t="shared" si="10"/>
        <v>0.16333333333333333</v>
      </c>
      <c r="I71" s="4">
        <v>25</v>
      </c>
      <c r="J71" s="74">
        <f t="shared" si="7"/>
        <v>50.2</v>
      </c>
    </row>
    <row r="72" spans="1:11">
      <c r="B72" s="15">
        <v>2</v>
      </c>
      <c r="C72" s="4">
        <v>500</v>
      </c>
      <c r="D72" s="4">
        <v>500</v>
      </c>
      <c r="E72" s="4">
        <f t="shared" si="8"/>
        <v>1000</v>
      </c>
      <c r="F72" s="4">
        <v>0</v>
      </c>
      <c r="G72" s="4">
        <f t="shared" si="9"/>
        <v>1000</v>
      </c>
      <c r="H72" s="5">
        <f t="shared" si="10"/>
        <v>0</v>
      </c>
      <c r="I72" s="4">
        <v>24</v>
      </c>
      <c r="J72" s="74">
        <f t="shared" si="7"/>
        <v>41.666666666666664</v>
      </c>
    </row>
    <row r="73" spans="1:11">
      <c r="B73" s="4">
        <v>3</v>
      </c>
      <c r="C73" s="4">
        <v>500</v>
      </c>
      <c r="D73" s="4">
        <v>500</v>
      </c>
      <c r="E73" s="4">
        <f t="shared" si="8"/>
        <v>1000</v>
      </c>
      <c r="F73" s="4">
        <v>95</v>
      </c>
      <c r="G73" s="4">
        <f t="shared" si="9"/>
        <v>905</v>
      </c>
      <c r="H73" s="5">
        <f t="shared" si="10"/>
        <v>9.5000000000000001E-2</v>
      </c>
      <c r="I73" s="4">
        <v>22</v>
      </c>
      <c r="J73" s="74">
        <f t="shared" si="7"/>
        <v>41.136363636363633</v>
      </c>
    </row>
    <row r="74" spans="1:11">
      <c r="B74" s="15">
        <v>4</v>
      </c>
      <c r="C74" s="4">
        <v>700</v>
      </c>
      <c r="D74" s="4">
        <v>700</v>
      </c>
      <c r="E74" s="4">
        <f t="shared" si="8"/>
        <v>1400</v>
      </c>
      <c r="F74" s="4">
        <v>105</v>
      </c>
      <c r="G74" s="4">
        <f t="shared" si="9"/>
        <v>1295</v>
      </c>
      <c r="H74" s="5">
        <f t="shared" si="10"/>
        <v>7.4999999999999997E-2</v>
      </c>
      <c r="I74" s="4">
        <v>22</v>
      </c>
      <c r="J74" s="74">
        <f t="shared" si="7"/>
        <v>58.863636363636367</v>
      </c>
    </row>
    <row r="75" spans="1:11">
      <c r="B75" s="15">
        <v>5</v>
      </c>
      <c r="C75" s="4">
        <v>500</v>
      </c>
      <c r="D75" s="4">
        <v>500</v>
      </c>
      <c r="E75" s="4">
        <f t="shared" si="8"/>
        <v>1000</v>
      </c>
      <c r="F75" s="4">
        <v>0</v>
      </c>
      <c r="G75" s="4">
        <f t="shared" si="9"/>
        <v>1000</v>
      </c>
      <c r="H75" s="5">
        <f t="shared" si="10"/>
        <v>0</v>
      </c>
      <c r="I75" s="4">
        <v>24</v>
      </c>
      <c r="J75" s="74">
        <f t="shared" si="7"/>
        <v>41.666666666666664</v>
      </c>
    </row>
    <row r="76" spans="1:11">
      <c r="B76" s="4">
        <v>6</v>
      </c>
      <c r="C76" s="4">
        <v>850</v>
      </c>
      <c r="D76" s="4">
        <v>850</v>
      </c>
      <c r="E76" s="4">
        <f t="shared" si="8"/>
        <v>1700</v>
      </c>
      <c r="F76" s="4">
        <v>60</v>
      </c>
      <c r="G76" s="4">
        <f t="shared" si="9"/>
        <v>1640</v>
      </c>
      <c r="H76" s="5">
        <f t="shared" si="10"/>
        <v>3.5294117647058823E-2</v>
      </c>
      <c r="I76" s="4">
        <v>34</v>
      </c>
      <c r="J76" s="74">
        <f t="shared" si="7"/>
        <v>48.235294117647058</v>
      </c>
    </row>
    <row r="77" spans="1:11">
      <c r="A77" s="2">
        <v>45882</v>
      </c>
      <c r="B77" s="4">
        <v>1</v>
      </c>
      <c r="C77" s="4">
        <v>750</v>
      </c>
      <c r="D77" s="4">
        <v>750</v>
      </c>
      <c r="E77" s="4">
        <f t="shared" si="8"/>
        <v>1500</v>
      </c>
      <c r="F77" s="4">
        <v>165</v>
      </c>
      <c r="G77" s="4">
        <f t="shared" si="9"/>
        <v>1335</v>
      </c>
      <c r="H77" s="5">
        <f t="shared" si="10"/>
        <v>0.11</v>
      </c>
      <c r="I77" s="4">
        <v>25</v>
      </c>
      <c r="J77" s="74">
        <f t="shared" si="7"/>
        <v>53.4</v>
      </c>
    </row>
    <row r="78" spans="1:11">
      <c r="B78" s="15">
        <v>2</v>
      </c>
      <c r="C78" s="4">
        <v>500</v>
      </c>
      <c r="D78" s="4">
        <v>500</v>
      </c>
      <c r="E78" s="4">
        <f t="shared" si="8"/>
        <v>1000</v>
      </c>
      <c r="F78" s="4">
        <v>0</v>
      </c>
      <c r="G78" s="4">
        <f t="shared" si="9"/>
        <v>1000</v>
      </c>
      <c r="H78" s="5">
        <f t="shared" si="10"/>
        <v>0</v>
      </c>
      <c r="I78" s="4">
        <v>24</v>
      </c>
      <c r="J78" s="74">
        <f t="shared" si="7"/>
        <v>41.666666666666664</v>
      </c>
    </row>
    <row r="79" spans="1:11">
      <c r="B79" s="4">
        <v>3</v>
      </c>
      <c r="C79" s="4">
        <v>500</v>
      </c>
      <c r="D79" s="4">
        <v>500</v>
      </c>
      <c r="E79" s="4">
        <f t="shared" si="8"/>
        <v>1000</v>
      </c>
      <c r="F79" s="4">
        <v>55</v>
      </c>
      <c r="G79" s="4">
        <f t="shared" si="9"/>
        <v>945</v>
      </c>
      <c r="H79" s="5">
        <f t="shared" si="10"/>
        <v>5.5E-2</v>
      </c>
      <c r="I79" s="4">
        <v>22</v>
      </c>
      <c r="J79" s="74">
        <f t="shared" si="7"/>
        <v>42.954545454545453</v>
      </c>
    </row>
    <row r="80" spans="1:11">
      <c r="B80" s="15">
        <v>4</v>
      </c>
      <c r="C80" s="4">
        <v>700</v>
      </c>
      <c r="D80" s="4">
        <v>700</v>
      </c>
      <c r="E80" s="4">
        <f t="shared" si="8"/>
        <v>1400</v>
      </c>
      <c r="F80" s="4">
        <v>70</v>
      </c>
      <c r="G80" s="4">
        <f t="shared" si="9"/>
        <v>1330</v>
      </c>
      <c r="H80" s="5">
        <f t="shared" si="10"/>
        <v>0.05</v>
      </c>
      <c r="I80" s="4">
        <v>22</v>
      </c>
      <c r="J80" s="74">
        <f t="shared" si="7"/>
        <v>60.454545454545453</v>
      </c>
    </row>
    <row r="81" spans="1:10">
      <c r="B81" s="15">
        <v>5</v>
      </c>
      <c r="C81" s="4">
        <v>500</v>
      </c>
      <c r="D81" s="4">
        <v>500</v>
      </c>
      <c r="E81" s="4">
        <f t="shared" si="8"/>
        <v>1000</v>
      </c>
      <c r="F81" s="4">
        <v>35</v>
      </c>
      <c r="G81" s="4">
        <f t="shared" si="9"/>
        <v>965</v>
      </c>
      <c r="H81" s="5">
        <f t="shared" si="10"/>
        <v>3.5000000000000003E-2</v>
      </c>
      <c r="I81" s="4">
        <v>24</v>
      </c>
      <c r="J81" s="74">
        <f t="shared" si="7"/>
        <v>40.208333333333336</v>
      </c>
    </row>
    <row r="82" spans="1:10">
      <c r="B82" s="4">
        <v>6</v>
      </c>
      <c r="C82" s="4">
        <v>850</v>
      </c>
      <c r="D82" s="4">
        <v>850</v>
      </c>
      <c r="E82" s="4">
        <f t="shared" si="8"/>
        <v>1700</v>
      </c>
      <c r="F82" s="4">
        <v>40</v>
      </c>
      <c r="G82" s="4">
        <f t="shared" si="9"/>
        <v>1660</v>
      </c>
      <c r="H82" s="5">
        <f t="shared" si="10"/>
        <v>2.3529411764705882E-2</v>
      </c>
      <c r="I82" s="4">
        <v>34</v>
      </c>
      <c r="J82" s="74">
        <f t="shared" si="7"/>
        <v>48.823529411764703</v>
      </c>
    </row>
    <row r="83" spans="1:10">
      <c r="A83" s="2">
        <v>45883</v>
      </c>
      <c r="B83" s="4">
        <v>1</v>
      </c>
      <c r="C83" s="4">
        <v>750</v>
      </c>
      <c r="D83" s="4">
        <v>750</v>
      </c>
      <c r="E83" s="4">
        <f t="shared" si="8"/>
        <v>1500</v>
      </c>
      <c r="F83" s="4">
        <v>120</v>
      </c>
      <c r="G83" s="4">
        <f t="shared" si="9"/>
        <v>1380</v>
      </c>
      <c r="H83" s="5">
        <f t="shared" si="10"/>
        <v>0.08</v>
      </c>
      <c r="I83" s="4">
        <v>25</v>
      </c>
      <c r="J83" s="74">
        <f t="shared" si="7"/>
        <v>55.2</v>
      </c>
    </row>
    <row r="84" spans="1:10">
      <c r="B84" s="15">
        <v>2</v>
      </c>
      <c r="C84" s="4">
        <v>500</v>
      </c>
      <c r="D84" s="4">
        <v>500</v>
      </c>
      <c r="E84" s="4">
        <f t="shared" si="8"/>
        <v>1000</v>
      </c>
      <c r="F84" s="4">
        <v>0</v>
      </c>
      <c r="G84" s="4">
        <f t="shared" si="9"/>
        <v>1000</v>
      </c>
      <c r="H84" s="5">
        <f t="shared" si="10"/>
        <v>0</v>
      </c>
      <c r="I84" s="4">
        <v>24</v>
      </c>
      <c r="J84" s="74">
        <f t="shared" si="7"/>
        <v>41.666666666666664</v>
      </c>
    </row>
    <row r="85" spans="1:10">
      <c r="B85" s="4">
        <v>3</v>
      </c>
      <c r="C85" s="4">
        <v>500</v>
      </c>
      <c r="D85" s="4">
        <v>500</v>
      </c>
      <c r="E85" s="4">
        <f t="shared" si="8"/>
        <v>1000</v>
      </c>
      <c r="F85" s="4">
        <v>35</v>
      </c>
      <c r="G85" s="4">
        <f t="shared" si="9"/>
        <v>965</v>
      </c>
      <c r="H85" s="5">
        <f t="shared" si="10"/>
        <v>3.5000000000000003E-2</v>
      </c>
      <c r="I85" s="4">
        <v>22</v>
      </c>
      <c r="J85" s="74">
        <f t="shared" si="7"/>
        <v>43.863636363636367</v>
      </c>
    </row>
    <row r="86" spans="1:10">
      <c r="B86" s="15">
        <v>4</v>
      </c>
      <c r="C86" s="4">
        <v>700</v>
      </c>
      <c r="D86" s="4">
        <v>700</v>
      </c>
      <c r="E86" s="4">
        <f t="shared" si="8"/>
        <v>1400</v>
      </c>
      <c r="F86" s="4">
        <v>85</v>
      </c>
      <c r="G86" s="4">
        <f t="shared" si="9"/>
        <v>1315</v>
      </c>
      <c r="H86" s="5">
        <f t="shared" si="10"/>
        <v>6.0714285714285714E-2</v>
      </c>
      <c r="I86" s="4">
        <v>22</v>
      </c>
      <c r="J86" s="74">
        <f t="shared" si="7"/>
        <v>59.772727272727273</v>
      </c>
    </row>
    <row r="87" spans="1:10">
      <c r="B87" s="15">
        <v>5</v>
      </c>
      <c r="C87" s="4">
        <v>500</v>
      </c>
      <c r="D87" s="4">
        <v>500</v>
      </c>
      <c r="E87" s="4">
        <f t="shared" si="8"/>
        <v>1000</v>
      </c>
      <c r="F87" s="4">
        <v>0</v>
      </c>
      <c r="G87" s="4">
        <f t="shared" si="9"/>
        <v>1000</v>
      </c>
      <c r="H87" s="5">
        <f t="shared" si="10"/>
        <v>0</v>
      </c>
      <c r="I87" s="4">
        <v>24</v>
      </c>
      <c r="J87" s="74">
        <f t="shared" si="7"/>
        <v>41.666666666666664</v>
      </c>
    </row>
    <row r="88" spans="1:10">
      <c r="B88" s="4">
        <v>6</v>
      </c>
      <c r="C88" s="4">
        <v>850</v>
      </c>
      <c r="D88" s="4">
        <v>850</v>
      </c>
      <c r="E88" s="4">
        <f t="shared" si="8"/>
        <v>1700</v>
      </c>
      <c r="F88" s="4">
        <v>65</v>
      </c>
      <c r="G88" s="4">
        <f t="shared" si="9"/>
        <v>1635</v>
      </c>
      <c r="H88" s="5">
        <f t="shared" si="10"/>
        <v>3.8235294117647062E-2</v>
      </c>
      <c r="I88" s="4">
        <v>36</v>
      </c>
      <c r="J88" s="74">
        <f t="shared" si="7"/>
        <v>45.416666666666664</v>
      </c>
    </row>
    <row r="89" spans="1:10">
      <c r="A89" s="2">
        <v>45884</v>
      </c>
      <c r="B89" s="4">
        <v>1</v>
      </c>
      <c r="C89" s="4">
        <v>750</v>
      </c>
      <c r="D89" s="4">
        <v>750</v>
      </c>
      <c r="E89" s="4">
        <f t="shared" si="8"/>
        <v>1500</v>
      </c>
      <c r="F89" s="4">
        <v>80</v>
      </c>
      <c r="G89" s="4">
        <f t="shared" si="9"/>
        <v>1420</v>
      </c>
      <c r="H89" s="5">
        <f t="shared" si="10"/>
        <v>5.3333333333333337E-2</v>
      </c>
      <c r="I89" s="4">
        <v>25</v>
      </c>
      <c r="J89" s="74">
        <f t="shared" si="7"/>
        <v>56.8</v>
      </c>
    </row>
    <row r="90" spans="1:10">
      <c r="B90" s="15">
        <v>2</v>
      </c>
      <c r="C90" s="4">
        <v>500</v>
      </c>
      <c r="D90" s="4">
        <v>500</v>
      </c>
      <c r="E90" s="4">
        <f t="shared" si="8"/>
        <v>1000</v>
      </c>
      <c r="F90" s="4">
        <v>0</v>
      </c>
      <c r="G90" s="4">
        <f t="shared" si="9"/>
        <v>1000</v>
      </c>
      <c r="H90" s="5">
        <f t="shared" si="10"/>
        <v>0</v>
      </c>
      <c r="I90" s="4">
        <v>24</v>
      </c>
      <c r="J90" s="74">
        <f t="shared" si="7"/>
        <v>41.666666666666664</v>
      </c>
    </row>
    <row r="91" spans="1:10">
      <c r="B91" s="4">
        <v>3</v>
      </c>
      <c r="C91" s="4">
        <v>500</v>
      </c>
      <c r="D91" s="4">
        <v>500</v>
      </c>
      <c r="E91" s="4">
        <f t="shared" si="8"/>
        <v>1000</v>
      </c>
      <c r="F91" s="4">
        <v>25</v>
      </c>
      <c r="G91" s="4">
        <f t="shared" si="9"/>
        <v>975</v>
      </c>
      <c r="H91" s="5">
        <f t="shared" si="10"/>
        <v>2.5000000000000001E-2</v>
      </c>
      <c r="I91" s="4">
        <v>25</v>
      </c>
      <c r="J91" s="74">
        <f t="shared" si="7"/>
        <v>39</v>
      </c>
    </row>
    <row r="92" spans="1:10">
      <c r="B92" s="15">
        <v>4</v>
      </c>
      <c r="C92" s="4">
        <v>700</v>
      </c>
      <c r="D92" s="4">
        <v>700</v>
      </c>
      <c r="E92" s="4">
        <f t="shared" si="8"/>
        <v>1400</v>
      </c>
      <c r="F92" s="4">
        <v>50</v>
      </c>
      <c r="G92" s="4">
        <f t="shared" si="9"/>
        <v>1350</v>
      </c>
      <c r="H92" s="5">
        <f t="shared" si="10"/>
        <v>3.5714285714285712E-2</v>
      </c>
      <c r="I92" s="4">
        <v>22</v>
      </c>
      <c r="J92" s="74">
        <f t="shared" si="7"/>
        <v>61.363636363636367</v>
      </c>
    </row>
    <row r="93" spans="1:10">
      <c r="B93" s="15">
        <v>5</v>
      </c>
      <c r="C93" s="4">
        <v>500</v>
      </c>
      <c r="D93" s="4">
        <v>500</v>
      </c>
      <c r="E93" s="4">
        <f t="shared" si="8"/>
        <v>1000</v>
      </c>
      <c r="F93" s="4">
        <v>0</v>
      </c>
      <c r="G93" s="4">
        <f t="shared" si="9"/>
        <v>1000</v>
      </c>
      <c r="H93" s="5">
        <f t="shared" si="10"/>
        <v>0</v>
      </c>
      <c r="I93" s="4">
        <v>22</v>
      </c>
      <c r="J93" s="74">
        <f t="shared" si="7"/>
        <v>45.454545454545453</v>
      </c>
    </row>
    <row r="94" spans="1:10">
      <c r="B94" s="4">
        <v>6</v>
      </c>
      <c r="C94" s="4">
        <v>850</v>
      </c>
      <c r="D94" s="4">
        <v>850</v>
      </c>
      <c r="E94" s="4">
        <f t="shared" si="8"/>
        <v>1700</v>
      </c>
      <c r="F94" s="4">
        <v>90</v>
      </c>
      <c r="G94" s="4">
        <f t="shared" si="9"/>
        <v>1610</v>
      </c>
      <c r="H94" s="5">
        <f t="shared" si="10"/>
        <v>5.2941176470588235E-2</v>
      </c>
      <c r="I94" s="4">
        <v>35</v>
      </c>
      <c r="J94" s="74">
        <f t="shared" si="7"/>
        <v>46</v>
      </c>
    </row>
    <row r="95" spans="1:10">
      <c r="A95" s="2">
        <v>45885</v>
      </c>
      <c r="B95" s="4">
        <v>1</v>
      </c>
      <c r="C95" s="4">
        <v>750</v>
      </c>
      <c r="D95" s="4">
        <v>750</v>
      </c>
      <c r="E95" s="4">
        <f t="shared" si="8"/>
        <v>1500</v>
      </c>
      <c r="F95" s="4">
        <v>100</v>
      </c>
      <c r="G95" s="4">
        <f t="shared" si="9"/>
        <v>1400</v>
      </c>
      <c r="H95" s="5">
        <f t="shared" si="10"/>
        <v>6.6666666666666666E-2</v>
      </c>
      <c r="I95" s="4">
        <v>25</v>
      </c>
      <c r="J95" s="74">
        <f t="shared" si="7"/>
        <v>56</v>
      </c>
    </row>
    <row r="96" spans="1:10">
      <c r="B96" s="15">
        <v>2</v>
      </c>
      <c r="C96" s="4">
        <v>500</v>
      </c>
      <c r="D96" s="4">
        <v>500</v>
      </c>
      <c r="E96" s="4">
        <f t="shared" si="8"/>
        <v>1000</v>
      </c>
      <c r="F96" s="4">
        <v>0</v>
      </c>
      <c r="G96" s="4">
        <f t="shared" si="9"/>
        <v>1000</v>
      </c>
      <c r="H96" s="5">
        <f t="shared" si="10"/>
        <v>0</v>
      </c>
      <c r="I96" s="4">
        <v>24</v>
      </c>
      <c r="J96" s="74">
        <f t="shared" si="7"/>
        <v>41.666666666666664</v>
      </c>
    </row>
    <row r="97" spans="1:10">
      <c r="B97" s="4">
        <v>3</v>
      </c>
      <c r="C97" s="4">
        <v>500</v>
      </c>
      <c r="D97" s="4">
        <v>500</v>
      </c>
      <c r="E97" s="4">
        <f t="shared" si="8"/>
        <v>1000</v>
      </c>
      <c r="F97" s="4">
        <v>60</v>
      </c>
      <c r="G97" s="4">
        <f t="shared" si="9"/>
        <v>940</v>
      </c>
      <c r="H97" s="5">
        <f t="shared" si="10"/>
        <v>0.06</v>
      </c>
      <c r="I97" s="4">
        <v>25</v>
      </c>
      <c r="J97" s="74">
        <f t="shared" si="7"/>
        <v>37.6</v>
      </c>
    </row>
    <row r="98" spans="1:10">
      <c r="B98" s="15">
        <v>4</v>
      </c>
      <c r="C98" s="4">
        <v>700</v>
      </c>
      <c r="D98" s="4">
        <v>700</v>
      </c>
      <c r="E98" s="4">
        <f t="shared" si="8"/>
        <v>1400</v>
      </c>
      <c r="F98" s="4">
        <v>75</v>
      </c>
      <c r="G98" s="4">
        <f t="shared" si="9"/>
        <v>1325</v>
      </c>
      <c r="H98" s="5">
        <f t="shared" si="10"/>
        <v>5.3571428571428568E-2</v>
      </c>
      <c r="I98" s="4">
        <v>22</v>
      </c>
      <c r="J98" s="74">
        <f t="shared" si="7"/>
        <v>60.227272727272727</v>
      </c>
    </row>
    <row r="99" spans="1:10">
      <c r="B99" s="15">
        <v>5</v>
      </c>
      <c r="C99" s="4">
        <v>500</v>
      </c>
      <c r="D99" s="4">
        <v>500</v>
      </c>
      <c r="E99" s="4">
        <f t="shared" si="8"/>
        <v>1000</v>
      </c>
      <c r="F99" s="4">
        <v>0</v>
      </c>
      <c r="G99" s="4">
        <f t="shared" si="9"/>
        <v>1000</v>
      </c>
      <c r="H99" s="5">
        <f t="shared" si="10"/>
        <v>0</v>
      </c>
      <c r="I99" s="4">
        <v>22</v>
      </c>
      <c r="J99" s="74">
        <f t="shared" si="7"/>
        <v>45.454545454545453</v>
      </c>
    </row>
    <row r="100" spans="1:10">
      <c r="B100" s="4">
        <v>6</v>
      </c>
      <c r="C100" s="4">
        <v>850</v>
      </c>
      <c r="D100" s="4">
        <v>850</v>
      </c>
      <c r="E100" s="4">
        <f t="shared" si="8"/>
        <v>1700</v>
      </c>
      <c r="F100" s="4">
        <v>65</v>
      </c>
      <c r="G100" s="4">
        <f t="shared" si="9"/>
        <v>1635</v>
      </c>
      <c r="H100" s="5">
        <f t="shared" si="10"/>
        <v>3.8235294117647062E-2</v>
      </c>
      <c r="I100" s="4">
        <v>35</v>
      </c>
      <c r="J100" s="74">
        <f t="shared" si="7"/>
        <v>46.714285714285715</v>
      </c>
    </row>
    <row r="101" spans="1:10">
      <c r="A101" s="2">
        <v>45886</v>
      </c>
      <c r="B101" s="4">
        <v>1</v>
      </c>
      <c r="C101" s="4">
        <v>750</v>
      </c>
      <c r="D101" s="4">
        <v>750</v>
      </c>
      <c r="E101" s="4">
        <f t="shared" si="8"/>
        <v>1500</v>
      </c>
      <c r="F101" s="4">
        <v>35</v>
      </c>
      <c r="G101" s="4">
        <f t="shared" si="9"/>
        <v>1465</v>
      </c>
      <c r="H101" s="5">
        <f t="shared" si="10"/>
        <v>2.3333333333333334E-2</v>
      </c>
      <c r="I101" s="4">
        <v>25</v>
      </c>
      <c r="J101" s="74">
        <f t="shared" si="7"/>
        <v>58.6</v>
      </c>
    </row>
    <row r="102" spans="1:10">
      <c r="B102" s="15">
        <v>2</v>
      </c>
      <c r="C102" s="4">
        <v>500</v>
      </c>
      <c r="D102" s="4">
        <v>500</v>
      </c>
      <c r="E102" s="4">
        <f t="shared" si="8"/>
        <v>1000</v>
      </c>
      <c r="F102" s="4">
        <v>0</v>
      </c>
      <c r="G102" s="4">
        <f t="shared" si="9"/>
        <v>1000</v>
      </c>
      <c r="H102" s="5">
        <f t="shared" si="10"/>
        <v>0</v>
      </c>
      <c r="I102" s="4">
        <v>24</v>
      </c>
      <c r="J102" s="74">
        <f t="shared" si="7"/>
        <v>41.666666666666664</v>
      </c>
    </row>
    <row r="103" spans="1:10">
      <c r="B103" s="4">
        <v>3</v>
      </c>
      <c r="C103" s="4">
        <v>500</v>
      </c>
      <c r="D103" s="4">
        <v>500</v>
      </c>
      <c r="E103" s="4">
        <f t="shared" si="8"/>
        <v>1000</v>
      </c>
      <c r="F103" s="4">
        <v>65</v>
      </c>
      <c r="G103" s="4">
        <f t="shared" si="9"/>
        <v>935</v>
      </c>
      <c r="H103" s="5">
        <f t="shared" si="10"/>
        <v>6.5000000000000002E-2</v>
      </c>
      <c r="I103" s="4">
        <v>25</v>
      </c>
      <c r="J103" s="74">
        <f t="shared" si="7"/>
        <v>37.4</v>
      </c>
    </row>
    <row r="104" spans="1:10">
      <c r="B104" s="15">
        <v>4</v>
      </c>
      <c r="C104" s="4">
        <v>700</v>
      </c>
      <c r="D104" s="4">
        <v>700</v>
      </c>
      <c r="E104" s="4">
        <f t="shared" si="8"/>
        <v>1400</v>
      </c>
      <c r="F104" s="4">
        <v>40</v>
      </c>
      <c r="G104" s="4">
        <f t="shared" si="9"/>
        <v>1360</v>
      </c>
      <c r="H104" s="5">
        <f t="shared" si="10"/>
        <v>2.8571428571428571E-2</v>
      </c>
      <c r="I104" s="4">
        <v>22</v>
      </c>
      <c r="J104" s="74">
        <f t="shared" si="7"/>
        <v>61.81818181818182</v>
      </c>
    </row>
    <row r="105" spans="1:10">
      <c r="B105" s="15">
        <v>5</v>
      </c>
      <c r="C105" s="4">
        <v>500</v>
      </c>
      <c r="D105" s="4">
        <v>500</v>
      </c>
      <c r="E105" s="4">
        <f t="shared" si="8"/>
        <v>1000</v>
      </c>
      <c r="F105" s="4">
        <v>0</v>
      </c>
      <c r="G105" s="4">
        <f t="shared" si="9"/>
        <v>1000</v>
      </c>
      <c r="H105" s="5">
        <f t="shared" si="10"/>
        <v>0</v>
      </c>
      <c r="I105" s="4">
        <v>22</v>
      </c>
      <c r="J105" s="74">
        <f t="shared" si="7"/>
        <v>45.454545454545453</v>
      </c>
    </row>
    <row r="106" spans="1:10">
      <c r="A106" s="2">
        <v>45887</v>
      </c>
      <c r="B106" s="4">
        <v>6</v>
      </c>
      <c r="C106" s="4">
        <v>850</v>
      </c>
      <c r="D106" s="4">
        <v>850</v>
      </c>
      <c r="E106" s="4">
        <f t="shared" si="8"/>
        <v>1700</v>
      </c>
      <c r="F106" s="4">
        <v>35</v>
      </c>
      <c r="G106" s="4">
        <f t="shared" si="9"/>
        <v>1665</v>
      </c>
      <c r="H106" s="5">
        <f t="shared" si="10"/>
        <v>2.0588235294117647E-2</v>
      </c>
      <c r="I106" s="4">
        <v>35</v>
      </c>
      <c r="J106" s="74">
        <f t="shared" si="7"/>
        <v>47.571428571428569</v>
      </c>
    </row>
    <row r="107" spans="1:10">
      <c r="B107" s="4">
        <v>1</v>
      </c>
      <c r="C107" s="4">
        <v>750</v>
      </c>
      <c r="D107" s="4">
        <v>750</v>
      </c>
      <c r="E107" s="4">
        <f t="shared" si="8"/>
        <v>1500</v>
      </c>
      <c r="F107" s="4">
        <v>110</v>
      </c>
      <c r="G107" s="4">
        <f t="shared" si="9"/>
        <v>1390</v>
      </c>
      <c r="H107" s="5">
        <f t="shared" si="10"/>
        <v>7.3333333333333334E-2</v>
      </c>
      <c r="I107" s="4">
        <v>25</v>
      </c>
      <c r="J107" s="74">
        <f t="shared" si="7"/>
        <v>55.6</v>
      </c>
    </row>
    <row r="108" spans="1:10">
      <c r="B108" s="15">
        <v>2</v>
      </c>
      <c r="C108" s="4">
        <v>500</v>
      </c>
      <c r="D108" s="4">
        <v>500</v>
      </c>
      <c r="E108" s="4">
        <f t="shared" si="8"/>
        <v>1000</v>
      </c>
      <c r="F108" s="4">
        <v>90</v>
      </c>
      <c r="G108" s="4">
        <f t="shared" si="9"/>
        <v>910</v>
      </c>
      <c r="H108" s="5">
        <f t="shared" si="10"/>
        <v>0.09</v>
      </c>
      <c r="I108" s="4">
        <v>24</v>
      </c>
      <c r="J108" s="74">
        <f t="shared" si="7"/>
        <v>37.916666666666664</v>
      </c>
    </row>
    <row r="109" spans="1:10">
      <c r="B109" s="4">
        <v>3</v>
      </c>
      <c r="C109" s="4">
        <v>500</v>
      </c>
      <c r="D109" s="4">
        <v>500</v>
      </c>
      <c r="E109" s="4">
        <f t="shared" si="8"/>
        <v>1000</v>
      </c>
      <c r="F109" s="4">
        <v>0</v>
      </c>
      <c r="G109" s="4">
        <f t="shared" si="9"/>
        <v>1000</v>
      </c>
      <c r="H109" s="5">
        <f t="shared" si="10"/>
        <v>0</v>
      </c>
      <c r="I109" s="4">
        <v>25</v>
      </c>
      <c r="J109" s="74">
        <f t="shared" si="7"/>
        <v>40</v>
      </c>
    </row>
    <row r="110" spans="1:10">
      <c r="B110" s="15">
        <v>4</v>
      </c>
      <c r="C110" s="4">
        <v>700</v>
      </c>
      <c r="D110" s="4">
        <v>700</v>
      </c>
      <c r="E110" s="4">
        <f t="shared" si="8"/>
        <v>1400</v>
      </c>
      <c r="F110" s="4">
        <v>135</v>
      </c>
      <c r="G110" s="4">
        <f t="shared" si="9"/>
        <v>1265</v>
      </c>
      <c r="H110" s="5">
        <f t="shared" si="10"/>
        <v>9.6428571428571433E-2</v>
      </c>
      <c r="I110" s="4">
        <v>22</v>
      </c>
      <c r="J110" s="74">
        <f t="shared" si="7"/>
        <v>57.5</v>
      </c>
    </row>
    <row r="111" spans="1:10">
      <c r="B111" s="15">
        <v>5</v>
      </c>
      <c r="C111" s="4">
        <v>500</v>
      </c>
      <c r="D111" s="4">
        <v>500</v>
      </c>
      <c r="E111" s="4">
        <f t="shared" si="8"/>
        <v>1000</v>
      </c>
      <c r="F111" s="4">
        <v>85</v>
      </c>
      <c r="G111" s="4">
        <f t="shared" si="9"/>
        <v>915</v>
      </c>
      <c r="H111" s="5">
        <f t="shared" si="10"/>
        <v>8.5000000000000006E-2</v>
      </c>
      <c r="I111" s="4">
        <v>22</v>
      </c>
      <c r="J111" s="74">
        <f t="shared" si="7"/>
        <v>41.590909090909093</v>
      </c>
    </row>
    <row r="112" spans="1:10">
      <c r="B112" s="4">
        <v>6</v>
      </c>
      <c r="C112" s="4">
        <v>850</v>
      </c>
      <c r="D112" s="4">
        <v>850</v>
      </c>
      <c r="E112" s="4">
        <f t="shared" si="8"/>
        <v>1700</v>
      </c>
      <c r="F112" s="4">
        <v>0</v>
      </c>
      <c r="G112" s="4">
        <f t="shared" si="9"/>
        <v>1700</v>
      </c>
      <c r="H112" s="5">
        <f t="shared" si="10"/>
        <v>0</v>
      </c>
      <c r="I112" s="4">
        <v>35</v>
      </c>
      <c r="J112" s="74">
        <f t="shared" si="7"/>
        <v>48.571428571428569</v>
      </c>
    </row>
    <row r="113" spans="1:10">
      <c r="A113" s="2">
        <v>45888</v>
      </c>
      <c r="B113" s="4">
        <v>1</v>
      </c>
      <c r="C113" s="4">
        <v>750</v>
      </c>
      <c r="D113" s="4">
        <v>750</v>
      </c>
      <c r="E113" s="4">
        <f t="shared" si="8"/>
        <v>1500</v>
      </c>
      <c r="F113" s="4">
        <v>435</v>
      </c>
      <c r="G113" s="4">
        <f t="shared" si="9"/>
        <v>1065</v>
      </c>
      <c r="H113" s="5">
        <f t="shared" si="10"/>
        <v>0.28999999999999998</v>
      </c>
      <c r="I113" s="4">
        <v>25</v>
      </c>
      <c r="J113" s="74">
        <f t="shared" si="7"/>
        <v>42.6</v>
      </c>
    </row>
    <row r="114" spans="1:10">
      <c r="B114" s="15">
        <v>2</v>
      </c>
      <c r="C114" s="4">
        <v>500</v>
      </c>
      <c r="D114" s="4">
        <v>500</v>
      </c>
      <c r="E114" s="4">
        <f t="shared" si="8"/>
        <v>1000</v>
      </c>
      <c r="F114" s="4">
        <v>0</v>
      </c>
      <c r="G114" s="4">
        <f t="shared" si="9"/>
        <v>1000</v>
      </c>
      <c r="H114" s="5">
        <f t="shared" si="10"/>
        <v>0</v>
      </c>
      <c r="I114" s="4">
        <v>24</v>
      </c>
      <c r="J114" s="74">
        <f t="shared" si="7"/>
        <v>41.666666666666664</v>
      </c>
    </row>
    <row r="115" spans="1:10">
      <c r="B115" s="4">
        <v>3</v>
      </c>
      <c r="C115" s="4">
        <v>500</v>
      </c>
      <c r="D115" s="4">
        <v>500</v>
      </c>
      <c r="E115" s="4">
        <f t="shared" si="8"/>
        <v>1000</v>
      </c>
      <c r="F115" s="4">
        <v>85</v>
      </c>
      <c r="G115" s="4">
        <f t="shared" si="9"/>
        <v>915</v>
      </c>
      <c r="H115" s="5">
        <f t="shared" si="10"/>
        <v>8.5000000000000006E-2</v>
      </c>
      <c r="I115" s="4">
        <v>25</v>
      </c>
      <c r="J115" s="74">
        <f t="shared" si="7"/>
        <v>36.6</v>
      </c>
    </row>
    <row r="116" spans="1:10">
      <c r="B116" s="15">
        <v>4</v>
      </c>
      <c r="C116" s="4">
        <v>700</v>
      </c>
      <c r="D116" s="4">
        <v>700</v>
      </c>
      <c r="E116" s="4">
        <f t="shared" si="8"/>
        <v>1400</v>
      </c>
      <c r="F116" s="4">
        <v>320</v>
      </c>
      <c r="G116" s="4">
        <f t="shared" si="9"/>
        <v>1080</v>
      </c>
      <c r="H116" s="5">
        <f t="shared" si="10"/>
        <v>0.22857142857142856</v>
      </c>
      <c r="I116" s="4">
        <v>22</v>
      </c>
      <c r="J116" s="74">
        <f t="shared" si="7"/>
        <v>49.090909090909093</v>
      </c>
    </row>
    <row r="117" spans="1:10">
      <c r="B117" s="15">
        <v>5</v>
      </c>
      <c r="C117" s="4">
        <v>500</v>
      </c>
      <c r="D117" s="4">
        <v>500</v>
      </c>
      <c r="E117" s="4">
        <f t="shared" si="8"/>
        <v>1000</v>
      </c>
      <c r="F117" s="4">
        <v>0</v>
      </c>
      <c r="G117" s="4">
        <f t="shared" si="9"/>
        <v>1000</v>
      </c>
      <c r="H117" s="5">
        <f t="shared" si="10"/>
        <v>0</v>
      </c>
      <c r="I117" s="4">
        <v>22</v>
      </c>
      <c r="J117" s="74">
        <f t="shared" si="7"/>
        <v>45.454545454545453</v>
      </c>
    </row>
    <row r="118" spans="1:10">
      <c r="B118" s="4">
        <v>6</v>
      </c>
      <c r="C118" s="4">
        <v>850</v>
      </c>
      <c r="D118" s="4">
        <v>850</v>
      </c>
      <c r="E118" s="4">
        <f t="shared" si="8"/>
        <v>1700</v>
      </c>
      <c r="F118" s="4">
        <v>65</v>
      </c>
      <c r="G118" s="4">
        <f t="shared" si="9"/>
        <v>1635</v>
      </c>
      <c r="H118" s="5">
        <f t="shared" si="10"/>
        <v>3.8235294117647062E-2</v>
      </c>
      <c r="I118" s="4">
        <v>35</v>
      </c>
      <c r="J118" s="74">
        <f t="shared" si="7"/>
        <v>46.714285714285715</v>
      </c>
    </row>
    <row r="119" spans="1:10">
      <c r="A119" s="2">
        <v>45889</v>
      </c>
      <c r="B119" s="4">
        <v>1</v>
      </c>
      <c r="C119" s="4">
        <v>750</v>
      </c>
      <c r="D119" s="4">
        <v>750</v>
      </c>
      <c r="E119" s="4">
        <f t="shared" si="8"/>
        <v>1500</v>
      </c>
      <c r="F119" s="4">
        <v>115</v>
      </c>
      <c r="G119" s="4">
        <f t="shared" si="9"/>
        <v>1385</v>
      </c>
      <c r="H119" s="5">
        <f t="shared" si="10"/>
        <v>7.6666666666666661E-2</v>
      </c>
      <c r="I119" s="4">
        <v>25</v>
      </c>
      <c r="J119" s="74">
        <f t="shared" si="7"/>
        <v>55.4</v>
      </c>
    </row>
    <row r="120" spans="1:10">
      <c r="B120" s="15">
        <v>2</v>
      </c>
      <c r="C120" s="4">
        <v>500</v>
      </c>
      <c r="D120" s="4">
        <v>500</v>
      </c>
      <c r="E120" s="4">
        <f t="shared" si="8"/>
        <v>1000</v>
      </c>
      <c r="F120" s="4">
        <v>0</v>
      </c>
      <c r="G120" s="4">
        <f t="shared" si="9"/>
        <v>1000</v>
      </c>
      <c r="H120" s="5">
        <f t="shared" si="10"/>
        <v>0</v>
      </c>
      <c r="I120" s="4">
        <v>24</v>
      </c>
      <c r="J120" s="74">
        <f t="shared" si="7"/>
        <v>41.666666666666664</v>
      </c>
    </row>
    <row r="121" spans="1:10">
      <c r="B121" s="4">
        <v>3</v>
      </c>
      <c r="C121" s="4">
        <v>500</v>
      </c>
      <c r="D121" s="4">
        <v>500</v>
      </c>
      <c r="E121" s="4">
        <f t="shared" si="8"/>
        <v>1000</v>
      </c>
      <c r="F121" s="4">
        <v>50</v>
      </c>
      <c r="G121" s="4">
        <f t="shared" si="9"/>
        <v>950</v>
      </c>
      <c r="H121" s="5">
        <f t="shared" si="10"/>
        <v>0.05</v>
      </c>
      <c r="I121" s="4">
        <v>25</v>
      </c>
      <c r="J121" s="74">
        <f t="shared" si="7"/>
        <v>38</v>
      </c>
    </row>
    <row r="122" spans="1:10">
      <c r="B122" s="15">
        <v>4</v>
      </c>
      <c r="C122" s="4">
        <v>700</v>
      </c>
      <c r="D122" s="4">
        <v>700</v>
      </c>
      <c r="E122" s="4">
        <f t="shared" si="8"/>
        <v>1400</v>
      </c>
      <c r="F122" s="4">
        <v>95</v>
      </c>
      <c r="G122" s="4">
        <f t="shared" si="9"/>
        <v>1305</v>
      </c>
      <c r="H122" s="5">
        <f t="shared" si="10"/>
        <v>6.7857142857142852E-2</v>
      </c>
      <c r="I122" s="4">
        <v>22</v>
      </c>
      <c r="J122" s="74">
        <f t="shared" si="7"/>
        <v>59.31818181818182</v>
      </c>
    </row>
    <row r="123" spans="1:10">
      <c r="B123" s="15">
        <v>5</v>
      </c>
      <c r="C123" s="4">
        <v>500</v>
      </c>
      <c r="D123" s="4">
        <v>500</v>
      </c>
      <c r="E123" s="4">
        <f t="shared" si="8"/>
        <v>1000</v>
      </c>
      <c r="F123" s="4">
        <v>0</v>
      </c>
      <c r="G123" s="4">
        <f t="shared" si="9"/>
        <v>1000</v>
      </c>
      <c r="H123" s="5">
        <f t="shared" si="10"/>
        <v>0</v>
      </c>
      <c r="I123" s="4">
        <v>22</v>
      </c>
      <c r="J123" s="74">
        <f t="shared" si="7"/>
        <v>45.454545454545453</v>
      </c>
    </row>
    <row r="124" spans="1:10">
      <c r="B124" s="4">
        <v>6</v>
      </c>
      <c r="C124" s="4">
        <v>850</v>
      </c>
      <c r="D124" s="4">
        <v>850</v>
      </c>
      <c r="E124" s="4">
        <f t="shared" si="8"/>
        <v>1700</v>
      </c>
      <c r="F124" s="4">
        <v>60</v>
      </c>
      <c r="G124" s="4">
        <f t="shared" si="9"/>
        <v>1640</v>
      </c>
      <c r="H124" s="5">
        <f t="shared" si="10"/>
        <v>3.5294117647058823E-2</v>
      </c>
      <c r="I124" s="4">
        <v>35</v>
      </c>
      <c r="J124" s="74">
        <f t="shared" si="7"/>
        <v>46.857142857142854</v>
      </c>
    </row>
    <row r="125" spans="1:10">
      <c r="A125" s="2">
        <v>45890</v>
      </c>
      <c r="B125" s="4">
        <v>1</v>
      </c>
      <c r="C125" s="4">
        <v>750</v>
      </c>
      <c r="D125" s="4">
        <v>750</v>
      </c>
      <c r="E125" s="4">
        <f t="shared" si="8"/>
        <v>1500</v>
      </c>
      <c r="F125" s="4">
        <v>140</v>
      </c>
      <c r="G125" s="4">
        <f t="shared" si="9"/>
        <v>1360</v>
      </c>
      <c r="H125" s="5">
        <f t="shared" si="10"/>
        <v>9.3333333333333338E-2</v>
      </c>
      <c r="I125" s="4">
        <v>25</v>
      </c>
      <c r="J125" s="74">
        <f t="shared" si="7"/>
        <v>54.4</v>
      </c>
    </row>
    <row r="126" spans="1:10">
      <c r="B126" s="15">
        <v>2</v>
      </c>
      <c r="C126" s="4">
        <v>500</v>
      </c>
      <c r="D126" s="4">
        <v>500</v>
      </c>
      <c r="E126" s="4">
        <f t="shared" si="8"/>
        <v>1000</v>
      </c>
      <c r="F126" s="4">
        <v>0</v>
      </c>
      <c r="G126" s="4">
        <f t="shared" si="9"/>
        <v>1000</v>
      </c>
      <c r="H126" s="5">
        <f t="shared" si="10"/>
        <v>0</v>
      </c>
      <c r="I126" s="4">
        <v>24</v>
      </c>
      <c r="J126" s="74">
        <f t="shared" si="7"/>
        <v>41.666666666666664</v>
      </c>
    </row>
    <row r="127" spans="1:10">
      <c r="B127" s="4">
        <v>3</v>
      </c>
      <c r="C127" s="4">
        <v>500</v>
      </c>
      <c r="D127" s="4">
        <v>500</v>
      </c>
      <c r="E127" s="4">
        <f t="shared" si="8"/>
        <v>1000</v>
      </c>
      <c r="F127" s="4">
        <v>35</v>
      </c>
      <c r="G127" s="4">
        <f t="shared" si="9"/>
        <v>965</v>
      </c>
      <c r="H127" s="5">
        <f t="shared" si="10"/>
        <v>3.5000000000000003E-2</v>
      </c>
      <c r="I127" s="4">
        <v>25</v>
      </c>
      <c r="J127" s="74">
        <f t="shared" si="7"/>
        <v>38.6</v>
      </c>
    </row>
    <row r="128" spans="1:10">
      <c r="B128" s="15">
        <v>4</v>
      </c>
      <c r="C128" s="4">
        <v>700</v>
      </c>
      <c r="D128" s="4">
        <v>700</v>
      </c>
      <c r="E128" s="4">
        <f t="shared" si="8"/>
        <v>1400</v>
      </c>
      <c r="F128" s="4">
        <v>90</v>
      </c>
      <c r="G128" s="4">
        <f t="shared" si="9"/>
        <v>1310</v>
      </c>
      <c r="H128" s="5">
        <f t="shared" si="10"/>
        <v>6.4285714285714279E-2</v>
      </c>
      <c r="I128" s="4">
        <v>22</v>
      </c>
      <c r="J128" s="74">
        <f t="shared" si="7"/>
        <v>59.545454545454547</v>
      </c>
    </row>
    <row r="129" spans="1:10">
      <c r="B129" s="15">
        <v>5</v>
      </c>
      <c r="C129" s="4">
        <v>500</v>
      </c>
      <c r="D129" s="4">
        <v>500</v>
      </c>
      <c r="E129" s="4">
        <f t="shared" si="8"/>
        <v>1000</v>
      </c>
      <c r="F129" s="4">
        <v>0</v>
      </c>
      <c r="G129" s="4">
        <f t="shared" si="9"/>
        <v>1000</v>
      </c>
      <c r="H129" s="5">
        <f t="shared" si="10"/>
        <v>0</v>
      </c>
      <c r="I129" s="4">
        <v>22</v>
      </c>
      <c r="J129" s="74">
        <f t="shared" ref="J129:J190" si="11">$G129/I129</f>
        <v>45.454545454545453</v>
      </c>
    </row>
    <row r="130" spans="1:10">
      <c r="B130" s="4">
        <v>6</v>
      </c>
      <c r="C130" s="4">
        <v>850</v>
      </c>
      <c r="D130" s="4">
        <v>850</v>
      </c>
      <c r="E130" s="4">
        <f t="shared" si="8"/>
        <v>1700</v>
      </c>
      <c r="F130" s="4">
        <v>40</v>
      </c>
      <c r="G130" s="4">
        <f t="shared" si="9"/>
        <v>1660</v>
      </c>
      <c r="H130" s="5">
        <f t="shared" si="10"/>
        <v>2.3529411764705882E-2</v>
      </c>
      <c r="I130" s="4">
        <v>35</v>
      </c>
      <c r="J130" s="74">
        <f t="shared" si="11"/>
        <v>47.428571428571431</v>
      </c>
    </row>
    <row r="131" spans="1:10">
      <c r="A131" s="2">
        <v>45891</v>
      </c>
      <c r="B131" s="4">
        <v>1</v>
      </c>
      <c r="C131" s="4">
        <v>750</v>
      </c>
      <c r="D131" s="4">
        <v>750</v>
      </c>
      <c r="E131" s="4">
        <f t="shared" si="8"/>
        <v>1500</v>
      </c>
      <c r="F131" s="4">
        <v>95</v>
      </c>
      <c r="G131" s="4">
        <f t="shared" si="9"/>
        <v>1405</v>
      </c>
      <c r="H131" s="5">
        <f t="shared" si="10"/>
        <v>6.3333333333333339E-2</v>
      </c>
      <c r="I131" s="4">
        <v>25</v>
      </c>
      <c r="J131" s="74">
        <f t="shared" si="11"/>
        <v>56.2</v>
      </c>
    </row>
    <row r="132" spans="1:10">
      <c r="B132" s="15">
        <v>2</v>
      </c>
      <c r="C132" s="4">
        <v>500</v>
      </c>
      <c r="D132" s="4">
        <v>500</v>
      </c>
      <c r="E132" s="4">
        <f t="shared" si="8"/>
        <v>1000</v>
      </c>
      <c r="F132" s="4">
        <v>0</v>
      </c>
      <c r="G132" s="4">
        <f t="shared" si="9"/>
        <v>1000</v>
      </c>
      <c r="H132" s="5">
        <f t="shared" si="10"/>
        <v>0</v>
      </c>
      <c r="I132" s="4">
        <v>24</v>
      </c>
      <c r="J132" s="74">
        <f t="shared" si="11"/>
        <v>41.666666666666664</v>
      </c>
    </row>
    <row r="133" spans="1:10">
      <c r="B133" s="4">
        <v>3</v>
      </c>
      <c r="C133" s="4">
        <v>500</v>
      </c>
      <c r="D133" s="4">
        <v>500</v>
      </c>
      <c r="E133" s="4">
        <f t="shared" si="8"/>
        <v>1000</v>
      </c>
      <c r="F133" s="4">
        <v>40</v>
      </c>
      <c r="G133" s="4">
        <f t="shared" si="9"/>
        <v>960</v>
      </c>
      <c r="H133" s="5">
        <f t="shared" si="10"/>
        <v>0.04</v>
      </c>
      <c r="I133" s="4">
        <v>25</v>
      </c>
      <c r="J133" s="74">
        <f t="shared" si="11"/>
        <v>38.4</v>
      </c>
    </row>
    <row r="134" spans="1:10">
      <c r="B134" s="15">
        <v>4</v>
      </c>
      <c r="C134" s="4">
        <v>700</v>
      </c>
      <c r="D134" s="4">
        <v>700</v>
      </c>
      <c r="E134" s="4">
        <f t="shared" ref="E134:E190" si="12">$C134+D134</f>
        <v>1400</v>
      </c>
      <c r="F134" s="4">
        <v>90</v>
      </c>
      <c r="G134" s="4">
        <f t="shared" ref="G134:G190" si="13">$E134-F134</f>
        <v>1310</v>
      </c>
      <c r="H134" s="5">
        <f t="shared" ref="H134:H190" si="14">$F134/E134</f>
        <v>6.4285714285714279E-2</v>
      </c>
      <c r="I134" s="4">
        <v>22</v>
      </c>
      <c r="J134" s="74">
        <f t="shared" si="11"/>
        <v>59.545454545454547</v>
      </c>
    </row>
    <row r="135" spans="1:10">
      <c r="B135" s="15">
        <v>5</v>
      </c>
      <c r="C135" s="4">
        <v>500</v>
      </c>
      <c r="D135" s="4">
        <v>500</v>
      </c>
      <c r="E135" s="4">
        <f t="shared" si="12"/>
        <v>1000</v>
      </c>
      <c r="F135" s="4">
        <v>0</v>
      </c>
      <c r="G135" s="4">
        <f t="shared" si="13"/>
        <v>1000</v>
      </c>
      <c r="H135" s="5">
        <f t="shared" si="14"/>
        <v>0</v>
      </c>
      <c r="I135" s="4">
        <v>24</v>
      </c>
      <c r="J135" s="74">
        <f t="shared" si="11"/>
        <v>41.666666666666664</v>
      </c>
    </row>
    <row r="136" spans="1:10">
      <c r="B136" s="4">
        <v>6</v>
      </c>
      <c r="C136" s="4">
        <v>850</v>
      </c>
      <c r="D136" s="4">
        <v>850</v>
      </c>
      <c r="E136" s="4">
        <f t="shared" si="12"/>
        <v>1700</v>
      </c>
      <c r="F136" s="4">
        <v>65</v>
      </c>
      <c r="G136" s="4">
        <f t="shared" si="13"/>
        <v>1635</v>
      </c>
      <c r="H136" s="5">
        <f t="shared" si="14"/>
        <v>3.8235294117647062E-2</v>
      </c>
      <c r="I136" s="4">
        <v>35</v>
      </c>
      <c r="J136" s="74">
        <f t="shared" si="11"/>
        <v>46.714285714285715</v>
      </c>
    </row>
    <row r="137" spans="1:10">
      <c r="A137" s="2">
        <v>45892</v>
      </c>
      <c r="B137" s="4">
        <v>1</v>
      </c>
      <c r="C137" s="4">
        <v>670</v>
      </c>
      <c r="D137" s="4">
        <v>670</v>
      </c>
      <c r="E137" s="4">
        <f t="shared" si="12"/>
        <v>1340</v>
      </c>
      <c r="F137" s="4">
        <v>70</v>
      </c>
      <c r="G137" s="4">
        <f t="shared" si="13"/>
        <v>1270</v>
      </c>
      <c r="H137" s="5">
        <f t="shared" si="14"/>
        <v>5.2238805970149252E-2</v>
      </c>
      <c r="I137" s="4">
        <v>25</v>
      </c>
      <c r="J137" s="74">
        <f t="shared" si="11"/>
        <v>50.8</v>
      </c>
    </row>
    <row r="138" spans="1:10">
      <c r="B138" s="15">
        <v>2</v>
      </c>
      <c r="C138" s="4">
        <v>650</v>
      </c>
      <c r="D138" s="4">
        <v>650</v>
      </c>
      <c r="E138" s="4">
        <f t="shared" si="12"/>
        <v>1300</v>
      </c>
      <c r="F138" s="4">
        <v>0</v>
      </c>
      <c r="G138" s="4">
        <f t="shared" si="13"/>
        <v>1300</v>
      </c>
      <c r="H138" s="5">
        <f t="shared" si="14"/>
        <v>0</v>
      </c>
      <c r="I138" s="4">
        <v>24</v>
      </c>
      <c r="J138" s="74">
        <f t="shared" si="11"/>
        <v>54.166666666666664</v>
      </c>
    </row>
    <row r="139" spans="1:10">
      <c r="B139" s="4">
        <v>3</v>
      </c>
      <c r="C139" s="4">
        <v>670</v>
      </c>
      <c r="D139" s="4">
        <v>670</v>
      </c>
      <c r="E139" s="4">
        <f t="shared" si="12"/>
        <v>1340</v>
      </c>
      <c r="F139" s="4">
        <v>55</v>
      </c>
      <c r="G139" s="4">
        <f t="shared" si="13"/>
        <v>1285</v>
      </c>
      <c r="H139" s="5">
        <f t="shared" si="14"/>
        <v>4.1044776119402986E-2</v>
      </c>
      <c r="I139" s="4">
        <v>25</v>
      </c>
      <c r="J139" s="74">
        <f t="shared" si="11"/>
        <v>51.4</v>
      </c>
    </row>
    <row r="140" spans="1:10">
      <c r="B140" s="15">
        <v>4</v>
      </c>
      <c r="C140" s="4">
        <v>590</v>
      </c>
      <c r="D140" s="4">
        <v>590</v>
      </c>
      <c r="E140" s="4">
        <f t="shared" si="12"/>
        <v>1180</v>
      </c>
      <c r="F140" s="4">
        <v>60</v>
      </c>
      <c r="G140" s="4">
        <f t="shared" si="13"/>
        <v>1120</v>
      </c>
      <c r="H140" s="5">
        <f t="shared" si="14"/>
        <v>5.0847457627118647E-2</v>
      </c>
      <c r="I140" s="4">
        <v>22</v>
      </c>
      <c r="J140" s="74">
        <f t="shared" si="11"/>
        <v>50.909090909090907</v>
      </c>
    </row>
    <row r="141" spans="1:10">
      <c r="B141" s="15">
        <v>5</v>
      </c>
      <c r="C141" s="4">
        <v>645</v>
      </c>
      <c r="D141" s="4">
        <v>645</v>
      </c>
      <c r="E141" s="4">
        <f t="shared" si="12"/>
        <v>1290</v>
      </c>
      <c r="F141" s="4">
        <v>0</v>
      </c>
      <c r="G141" s="4">
        <f t="shared" si="13"/>
        <v>1290</v>
      </c>
      <c r="H141" s="5">
        <f t="shared" si="14"/>
        <v>0</v>
      </c>
      <c r="I141" s="4">
        <v>24</v>
      </c>
      <c r="J141" s="74">
        <f t="shared" si="11"/>
        <v>53.75</v>
      </c>
    </row>
    <row r="142" spans="1:10">
      <c r="B142" s="4">
        <v>6</v>
      </c>
      <c r="C142" s="4">
        <v>945</v>
      </c>
      <c r="D142" s="4">
        <v>945</v>
      </c>
      <c r="E142" s="4">
        <f t="shared" si="12"/>
        <v>1890</v>
      </c>
      <c r="F142" s="4">
        <v>50</v>
      </c>
      <c r="G142" s="4">
        <f t="shared" si="13"/>
        <v>1840</v>
      </c>
      <c r="H142" s="5">
        <f t="shared" si="14"/>
        <v>2.6455026455026454E-2</v>
      </c>
      <c r="I142" s="4">
        <v>35</v>
      </c>
      <c r="J142" s="74">
        <f t="shared" si="11"/>
        <v>52.571428571428569</v>
      </c>
    </row>
    <row r="143" spans="1:10">
      <c r="A143" s="2">
        <v>45893</v>
      </c>
      <c r="B143" s="4">
        <v>1</v>
      </c>
      <c r="C143" s="4">
        <v>670</v>
      </c>
      <c r="D143" s="4">
        <v>670</v>
      </c>
      <c r="E143" s="4">
        <f t="shared" si="12"/>
        <v>1340</v>
      </c>
      <c r="F143" s="4">
        <v>55</v>
      </c>
      <c r="G143" s="4">
        <f t="shared" si="13"/>
        <v>1285</v>
      </c>
      <c r="H143" s="5">
        <f t="shared" si="14"/>
        <v>4.1044776119402986E-2</v>
      </c>
      <c r="I143" s="4">
        <v>25</v>
      </c>
      <c r="J143" s="74">
        <f t="shared" si="11"/>
        <v>51.4</v>
      </c>
    </row>
    <row r="144" spans="1:10">
      <c r="B144" s="15">
        <v>2</v>
      </c>
      <c r="C144" s="4">
        <v>650</v>
      </c>
      <c r="D144" s="4">
        <v>650</v>
      </c>
      <c r="E144" s="4">
        <f t="shared" si="12"/>
        <v>1300</v>
      </c>
      <c r="F144" s="4">
        <v>0</v>
      </c>
      <c r="G144" s="4">
        <f t="shared" si="13"/>
        <v>1300</v>
      </c>
      <c r="H144" s="5">
        <f t="shared" si="14"/>
        <v>0</v>
      </c>
      <c r="I144" s="4">
        <v>24</v>
      </c>
      <c r="J144" s="74">
        <f t="shared" si="11"/>
        <v>54.166666666666664</v>
      </c>
    </row>
    <row r="145" spans="1:10">
      <c r="B145" s="4">
        <v>3</v>
      </c>
      <c r="C145" s="4">
        <v>670</v>
      </c>
      <c r="D145" s="4">
        <v>670</v>
      </c>
      <c r="E145" s="4">
        <f t="shared" si="12"/>
        <v>1340</v>
      </c>
      <c r="F145" s="4">
        <v>40</v>
      </c>
      <c r="G145" s="4">
        <f t="shared" si="13"/>
        <v>1300</v>
      </c>
      <c r="H145" s="5">
        <f t="shared" si="14"/>
        <v>2.9850746268656716E-2</v>
      </c>
      <c r="I145" s="4">
        <v>25</v>
      </c>
      <c r="J145" s="74">
        <f t="shared" si="11"/>
        <v>52</v>
      </c>
    </row>
    <row r="146" spans="1:10">
      <c r="B146" s="15">
        <v>4</v>
      </c>
      <c r="C146" s="4">
        <v>590</v>
      </c>
      <c r="D146" s="4">
        <v>590</v>
      </c>
      <c r="E146" s="4">
        <f t="shared" si="12"/>
        <v>1180</v>
      </c>
      <c r="F146" s="4">
        <v>125</v>
      </c>
      <c r="G146" s="4">
        <f t="shared" si="13"/>
        <v>1055</v>
      </c>
      <c r="H146" s="5">
        <f t="shared" si="14"/>
        <v>0.1059322033898305</v>
      </c>
      <c r="I146" s="4">
        <v>22</v>
      </c>
      <c r="J146" s="74">
        <f t="shared" si="11"/>
        <v>47.954545454545453</v>
      </c>
    </row>
    <row r="147" spans="1:10">
      <c r="B147" s="15">
        <v>5</v>
      </c>
      <c r="C147" s="4">
        <v>645</v>
      </c>
      <c r="D147" s="4">
        <v>645</v>
      </c>
      <c r="E147" s="4">
        <f t="shared" si="12"/>
        <v>1290</v>
      </c>
      <c r="F147" s="4">
        <v>0</v>
      </c>
      <c r="G147" s="4">
        <f t="shared" si="13"/>
        <v>1290</v>
      </c>
      <c r="H147" s="5">
        <f t="shared" si="14"/>
        <v>0</v>
      </c>
      <c r="I147" s="4">
        <v>22</v>
      </c>
      <c r="J147" s="74">
        <f t="shared" si="11"/>
        <v>58.636363636363633</v>
      </c>
    </row>
    <row r="148" spans="1:10">
      <c r="B148" s="4">
        <v>6</v>
      </c>
      <c r="C148" s="4">
        <v>945</v>
      </c>
      <c r="D148" s="4">
        <v>945</v>
      </c>
      <c r="E148" s="4">
        <f t="shared" si="12"/>
        <v>1890</v>
      </c>
      <c r="F148" s="4">
        <v>45</v>
      </c>
      <c r="G148" s="4">
        <f t="shared" si="13"/>
        <v>1845</v>
      </c>
      <c r="H148" s="5">
        <f t="shared" si="14"/>
        <v>2.3809523809523808E-2</v>
      </c>
      <c r="I148" s="4">
        <v>37</v>
      </c>
      <c r="J148" s="74">
        <f t="shared" si="11"/>
        <v>49.864864864864863</v>
      </c>
    </row>
    <row r="149" spans="1:10">
      <c r="A149" s="2">
        <v>45894</v>
      </c>
      <c r="B149" s="4">
        <v>1</v>
      </c>
      <c r="C149" s="4">
        <v>670</v>
      </c>
      <c r="D149" s="4">
        <v>670</v>
      </c>
      <c r="E149" s="4">
        <f t="shared" si="12"/>
        <v>1340</v>
      </c>
      <c r="F149" s="4">
        <v>15</v>
      </c>
      <c r="G149" s="4">
        <f t="shared" si="13"/>
        <v>1325</v>
      </c>
      <c r="H149" s="5">
        <f t="shared" si="14"/>
        <v>1.1194029850746268E-2</v>
      </c>
      <c r="I149" s="4">
        <v>25</v>
      </c>
      <c r="J149" s="74">
        <f t="shared" si="11"/>
        <v>53</v>
      </c>
    </row>
    <row r="150" spans="1:10">
      <c r="B150" s="15">
        <v>2</v>
      </c>
      <c r="C150" s="4">
        <v>650</v>
      </c>
      <c r="D150" s="4">
        <v>650</v>
      </c>
      <c r="E150" s="4">
        <f t="shared" si="12"/>
        <v>1300</v>
      </c>
      <c r="F150" s="4">
        <v>30</v>
      </c>
      <c r="G150" s="4">
        <f t="shared" si="13"/>
        <v>1270</v>
      </c>
      <c r="H150" s="5">
        <f t="shared" si="14"/>
        <v>2.3076923076923078E-2</v>
      </c>
      <c r="I150" s="4">
        <v>25</v>
      </c>
      <c r="J150" s="74">
        <f t="shared" si="11"/>
        <v>50.8</v>
      </c>
    </row>
    <row r="151" spans="1:10">
      <c r="B151" s="4">
        <v>3</v>
      </c>
      <c r="C151" s="4">
        <v>670</v>
      </c>
      <c r="D151" s="4">
        <v>670</v>
      </c>
      <c r="E151" s="4">
        <f t="shared" si="12"/>
        <v>1340</v>
      </c>
      <c r="F151" s="4">
        <v>10</v>
      </c>
      <c r="G151" s="4">
        <f t="shared" si="13"/>
        <v>1330</v>
      </c>
      <c r="H151" s="5">
        <f t="shared" si="14"/>
        <v>7.462686567164179E-3</v>
      </c>
      <c r="I151" s="4">
        <v>25</v>
      </c>
      <c r="J151" s="74">
        <f t="shared" si="11"/>
        <v>53.2</v>
      </c>
    </row>
    <row r="152" spans="1:10">
      <c r="B152" s="15">
        <v>4</v>
      </c>
      <c r="C152" s="4">
        <v>590</v>
      </c>
      <c r="D152" s="4">
        <v>590</v>
      </c>
      <c r="E152" s="4">
        <f t="shared" si="12"/>
        <v>1180</v>
      </c>
      <c r="F152" s="4">
        <v>200</v>
      </c>
      <c r="G152" s="4">
        <f t="shared" si="13"/>
        <v>980</v>
      </c>
      <c r="H152" s="5">
        <f t="shared" si="14"/>
        <v>0.16949152542372881</v>
      </c>
      <c r="I152" s="4">
        <v>22</v>
      </c>
      <c r="J152" s="74">
        <f t="shared" si="11"/>
        <v>44.545454545454547</v>
      </c>
    </row>
    <row r="153" spans="1:10">
      <c r="B153" s="15">
        <v>5</v>
      </c>
      <c r="C153" s="4">
        <v>645</v>
      </c>
      <c r="D153" s="4">
        <v>645</v>
      </c>
      <c r="E153" s="4">
        <f t="shared" si="12"/>
        <v>1290</v>
      </c>
      <c r="F153" s="4">
        <v>0</v>
      </c>
      <c r="G153" s="4">
        <f t="shared" si="13"/>
        <v>1290</v>
      </c>
      <c r="H153" s="5">
        <f t="shared" si="14"/>
        <v>0</v>
      </c>
      <c r="I153" s="4">
        <v>22</v>
      </c>
      <c r="J153" s="74">
        <f t="shared" si="11"/>
        <v>58.636363636363633</v>
      </c>
    </row>
    <row r="154" spans="1:10">
      <c r="B154" s="4">
        <v>6</v>
      </c>
      <c r="C154" s="4">
        <v>945</v>
      </c>
      <c r="D154" s="4">
        <v>945</v>
      </c>
      <c r="E154" s="4">
        <f t="shared" si="12"/>
        <v>1890</v>
      </c>
      <c r="F154" s="4">
        <v>75</v>
      </c>
      <c r="G154" s="4">
        <f t="shared" si="13"/>
        <v>1815</v>
      </c>
      <c r="H154" s="5">
        <f t="shared" si="14"/>
        <v>3.968253968253968E-2</v>
      </c>
      <c r="I154" s="4">
        <v>38</v>
      </c>
      <c r="J154" s="74">
        <f t="shared" si="11"/>
        <v>47.763157894736842</v>
      </c>
    </row>
    <row r="155" spans="1:10">
      <c r="A155" s="2">
        <v>45895</v>
      </c>
      <c r="B155" s="4">
        <v>1</v>
      </c>
      <c r="C155" s="4">
        <v>600</v>
      </c>
      <c r="D155" s="4">
        <v>600</v>
      </c>
      <c r="E155" s="4">
        <f t="shared" si="12"/>
        <v>1200</v>
      </c>
      <c r="F155" s="4">
        <v>105</v>
      </c>
      <c r="G155" s="4">
        <f t="shared" si="13"/>
        <v>1095</v>
      </c>
      <c r="H155" s="5">
        <f t="shared" si="14"/>
        <v>8.7499999999999994E-2</v>
      </c>
      <c r="I155" s="4">
        <v>25</v>
      </c>
      <c r="J155" s="74">
        <f t="shared" si="11"/>
        <v>43.8</v>
      </c>
    </row>
    <row r="156" spans="1:10">
      <c r="B156" s="15">
        <v>2</v>
      </c>
      <c r="C156" s="4">
        <v>500</v>
      </c>
      <c r="D156" s="4">
        <v>500</v>
      </c>
      <c r="E156" s="4">
        <f t="shared" si="12"/>
        <v>1000</v>
      </c>
      <c r="F156" s="4">
        <v>0</v>
      </c>
      <c r="G156" s="4">
        <f t="shared" si="13"/>
        <v>1000</v>
      </c>
      <c r="H156" s="5">
        <f t="shared" si="14"/>
        <v>0</v>
      </c>
      <c r="I156" s="4">
        <v>25</v>
      </c>
      <c r="J156" s="74">
        <f t="shared" si="11"/>
        <v>40</v>
      </c>
    </row>
    <row r="157" spans="1:10">
      <c r="B157" s="4">
        <v>3</v>
      </c>
      <c r="C157" s="4">
        <v>650</v>
      </c>
      <c r="D157" s="4">
        <v>650</v>
      </c>
      <c r="E157" s="4">
        <f t="shared" si="12"/>
        <v>1300</v>
      </c>
      <c r="F157" s="4">
        <v>35</v>
      </c>
      <c r="G157" s="4">
        <f t="shared" si="13"/>
        <v>1265</v>
      </c>
      <c r="H157" s="5">
        <f t="shared" si="14"/>
        <v>2.6923076923076925E-2</v>
      </c>
      <c r="I157" s="4">
        <v>25</v>
      </c>
      <c r="J157" s="74">
        <f t="shared" si="11"/>
        <v>50.6</v>
      </c>
    </row>
    <row r="158" spans="1:10">
      <c r="B158" s="15">
        <v>4</v>
      </c>
      <c r="C158" s="4">
        <v>700</v>
      </c>
      <c r="D158" s="4">
        <v>700</v>
      </c>
      <c r="E158" s="4">
        <f t="shared" si="12"/>
        <v>1400</v>
      </c>
      <c r="F158" s="4">
        <v>75</v>
      </c>
      <c r="G158" s="4">
        <f t="shared" si="13"/>
        <v>1325</v>
      </c>
      <c r="H158" s="5">
        <f t="shared" si="14"/>
        <v>5.3571428571428568E-2</v>
      </c>
      <c r="I158" s="4">
        <v>22</v>
      </c>
      <c r="J158" s="74">
        <f t="shared" si="11"/>
        <v>60.227272727272727</v>
      </c>
    </row>
    <row r="159" spans="1:10">
      <c r="B159" s="15">
        <v>5</v>
      </c>
      <c r="C159" s="4">
        <v>500</v>
      </c>
      <c r="D159" s="4">
        <v>500</v>
      </c>
      <c r="E159" s="4">
        <f t="shared" si="12"/>
        <v>1000</v>
      </c>
      <c r="F159" s="4">
        <v>0</v>
      </c>
      <c r="G159" s="4">
        <f t="shared" si="13"/>
        <v>1000</v>
      </c>
      <c r="H159" s="5">
        <f t="shared" si="14"/>
        <v>0</v>
      </c>
      <c r="I159" s="4">
        <v>22</v>
      </c>
      <c r="J159" s="74">
        <f t="shared" si="11"/>
        <v>45.454545454545453</v>
      </c>
    </row>
    <row r="160" spans="1:10">
      <c r="B160" s="4">
        <v>6</v>
      </c>
      <c r="C160" s="4">
        <v>700</v>
      </c>
      <c r="D160" s="4">
        <v>700</v>
      </c>
      <c r="E160" s="4">
        <f t="shared" si="12"/>
        <v>1400</v>
      </c>
      <c r="F160" s="4">
        <v>25</v>
      </c>
      <c r="G160" s="4">
        <f t="shared" si="13"/>
        <v>1375</v>
      </c>
      <c r="H160" s="5">
        <f t="shared" si="14"/>
        <v>1.7857142857142856E-2</v>
      </c>
      <c r="I160" s="4">
        <v>38</v>
      </c>
      <c r="J160" s="74">
        <f>$G160/I160</f>
        <v>36.184210526315788</v>
      </c>
    </row>
    <row r="161" spans="1:10">
      <c r="A161" s="2">
        <v>45896</v>
      </c>
      <c r="B161" s="4">
        <v>1</v>
      </c>
      <c r="C161" s="4">
        <v>670</v>
      </c>
      <c r="D161" s="4">
        <v>670</v>
      </c>
      <c r="E161" s="4">
        <f t="shared" si="12"/>
        <v>1340</v>
      </c>
      <c r="F161" s="4">
        <v>45</v>
      </c>
      <c r="G161" s="4">
        <f t="shared" si="13"/>
        <v>1295</v>
      </c>
      <c r="H161" s="5">
        <f t="shared" si="14"/>
        <v>3.3582089552238806E-2</v>
      </c>
      <c r="I161" s="95">
        <v>25</v>
      </c>
      <c r="J161" s="74">
        <f t="shared" si="11"/>
        <v>51.8</v>
      </c>
    </row>
    <row r="162" spans="1:10">
      <c r="B162" s="15">
        <v>2</v>
      </c>
      <c r="C162" s="4">
        <v>650</v>
      </c>
      <c r="D162" s="4">
        <v>650</v>
      </c>
      <c r="E162" s="4">
        <f t="shared" si="12"/>
        <v>1300</v>
      </c>
      <c r="F162" s="4">
        <v>0</v>
      </c>
      <c r="G162" s="4">
        <f t="shared" si="13"/>
        <v>1300</v>
      </c>
      <c r="H162" s="5">
        <f t="shared" si="14"/>
        <v>0</v>
      </c>
      <c r="I162" s="95">
        <v>25</v>
      </c>
      <c r="J162" s="74">
        <f t="shared" si="11"/>
        <v>52</v>
      </c>
    </row>
    <row r="163" spans="1:10">
      <c r="B163" s="4">
        <v>3</v>
      </c>
      <c r="C163" s="4">
        <v>670</v>
      </c>
      <c r="D163" s="4">
        <v>670</v>
      </c>
      <c r="E163" s="4">
        <f t="shared" si="12"/>
        <v>1340</v>
      </c>
      <c r="F163" s="4">
        <v>30</v>
      </c>
      <c r="G163" s="4">
        <f t="shared" si="13"/>
        <v>1310</v>
      </c>
      <c r="H163" s="5">
        <f t="shared" si="14"/>
        <v>2.2388059701492536E-2</v>
      </c>
      <c r="I163" s="95">
        <v>25</v>
      </c>
      <c r="J163" s="74">
        <f t="shared" si="11"/>
        <v>52.4</v>
      </c>
    </row>
    <row r="164" spans="1:10">
      <c r="B164" s="15">
        <v>4</v>
      </c>
      <c r="C164" s="4">
        <v>590</v>
      </c>
      <c r="D164" s="4">
        <v>590</v>
      </c>
      <c r="E164" s="4">
        <f t="shared" si="12"/>
        <v>1180</v>
      </c>
      <c r="F164" s="4">
        <v>95</v>
      </c>
      <c r="G164" s="4">
        <f t="shared" si="13"/>
        <v>1085</v>
      </c>
      <c r="H164" s="5">
        <f t="shared" si="14"/>
        <v>8.050847457627118E-2</v>
      </c>
      <c r="I164" s="95">
        <v>22</v>
      </c>
      <c r="J164" s="74">
        <f t="shared" si="11"/>
        <v>49.31818181818182</v>
      </c>
    </row>
    <row r="165" spans="1:10">
      <c r="B165" s="15">
        <v>5</v>
      </c>
      <c r="C165" s="4">
        <v>640</v>
      </c>
      <c r="D165" s="4">
        <v>640</v>
      </c>
      <c r="E165" s="4">
        <f t="shared" si="12"/>
        <v>1280</v>
      </c>
      <c r="F165" s="4">
        <v>0</v>
      </c>
      <c r="G165" s="4">
        <f t="shared" si="13"/>
        <v>1280</v>
      </c>
      <c r="H165" s="5">
        <f t="shared" si="14"/>
        <v>0</v>
      </c>
      <c r="I165" s="95">
        <v>22</v>
      </c>
      <c r="J165" s="74">
        <f t="shared" si="11"/>
        <v>58.18181818181818</v>
      </c>
    </row>
    <row r="166" spans="1:10">
      <c r="B166" s="4">
        <v>6</v>
      </c>
      <c r="C166" s="4">
        <v>945</v>
      </c>
      <c r="D166" s="4">
        <v>945</v>
      </c>
      <c r="E166" s="4">
        <f t="shared" si="12"/>
        <v>1890</v>
      </c>
      <c r="F166" s="4">
        <v>35</v>
      </c>
      <c r="G166" s="4">
        <f t="shared" si="13"/>
        <v>1855</v>
      </c>
      <c r="H166" s="5">
        <f t="shared" si="14"/>
        <v>1.8518518518518517E-2</v>
      </c>
      <c r="I166" s="95">
        <v>38</v>
      </c>
      <c r="J166" s="74">
        <f t="shared" si="11"/>
        <v>48.815789473684212</v>
      </c>
    </row>
    <row r="167" spans="1:10">
      <c r="A167" s="2">
        <v>45897</v>
      </c>
      <c r="B167" s="4">
        <v>1</v>
      </c>
      <c r="C167" s="4">
        <v>670</v>
      </c>
      <c r="D167" s="4">
        <v>670</v>
      </c>
      <c r="E167" s="4">
        <f t="shared" si="12"/>
        <v>1340</v>
      </c>
      <c r="F167" s="4">
        <v>18</v>
      </c>
      <c r="G167" s="4">
        <f t="shared" si="13"/>
        <v>1322</v>
      </c>
      <c r="H167" s="5">
        <f t="shared" si="14"/>
        <v>1.3432835820895522E-2</v>
      </c>
      <c r="I167" s="95">
        <v>25</v>
      </c>
      <c r="J167" s="74">
        <f t="shared" si="11"/>
        <v>52.88</v>
      </c>
    </row>
    <row r="168" spans="1:10">
      <c r="B168" s="15">
        <v>2</v>
      </c>
      <c r="C168" s="4">
        <v>650</v>
      </c>
      <c r="D168" s="4">
        <v>650</v>
      </c>
      <c r="E168" s="4">
        <f t="shared" si="12"/>
        <v>1300</v>
      </c>
      <c r="F168" s="4">
        <v>0</v>
      </c>
      <c r="G168" s="4">
        <f t="shared" si="13"/>
        <v>1300</v>
      </c>
      <c r="H168" s="5">
        <f t="shared" si="14"/>
        <v>0</v>
      </c>
      <c r="I168" s="95">
        <v>25</v>
      </c>
      <c r="J168" s="74">
        <f t="shared" si="11"/>
        <v>52</v>
      </c>
    </row>
    <row r="169" spans="1:10">
      <c r="B169" s="4">
        <v>3</v>
      </c>
      <c r="C169" s="4">
        <v>670</v>
      </c>
      <c r="D169" s="4">
        <v>670</v>
      </c>
      <c r="E169" s="4">
        <f t="shared" si="12"/>
        <v>1340</v>
      </c>
      <c r="F169" s="4">
        <v>32</v>
      </c>
      <c r="G169" s="4">
        <f t="shared" si="13"/>
        <v>1308</v>
      </c>
      <c r="H169" s="5">
        <f t="shared" si="14"/>
        <v>2.3880597014925373E-2</v>
      </c>
      <c r="I169" s="95">
        <v>25</v>
      </c>
      <c r="J169" s="74">
        <f t="shared" si="11"/>
        <v>52.32</v>
      </c>
    </row>
    <row r="170" spans="1:10">
      <c r="B170" s="15">
        <v>4</v>
      </c>
      <c r="C170" s="4">
        <v>590</v>
      </c>
      <c r="D170" s="4">
        <v>590</v>
      </c>
      <c r="E170" s="4">
        <f t="shared" si="12"/>
        <v>1180</v>
      </c>
      <c r="F170" s="4">
        <v>0</v>
      </c>
      <c r="G170" s="4">
        <f t="shared" si="13"/>
        <v>1180</v>
      </c>
      <c r="H170" s="5">
        <f t="shared" si="14"/>
        <v>0</v>
      </c>
      <c r="I170" s="95">
        <v>22</v>
      </c>
      <c r="J170" s="74">
        <f t="shared" si="11"/>
        <v>53.636363636363633</v>
      </c>
    </row>
    <row r="171" spans="1:10">
      <c r="B171" s="15">
        <v>5</v>
      </c>
      <c r="C171" s="4">
        <v>640</v>
      </c>
      <c r="D171" s="4">
        <v>640</v>
      </c>
      <c r="E171" s="4">
        <f t="shared" si="12"/>
        <v>1280</v>
      </c>
      <c r="F171" s="4">
        <v>79</v>
      </c>
      <c r="G171" s="4">
        <f t="shared" si="13"/>
        <v>1201</v>
      </c>
      <c r="H171" s="5">
        <f t="shared" si="14"/>
        <v>6.1718750000000003E-2</v>
      </c>
      <c r="I171" s="95">
        <v>22</v>
      </c>
      <c r="J171" s="74">
        <f t="shared" si="11"/>
        <v>54.590909090909093</v>
      </c>
    </row>
    <row r="172" spans="1:10">
      <c r="B172" s="4">
        <v>6</v>
      </c>
      <c r="C172" s="4">
        <v>940</v>
      </c>
      <c r="D172" s="4">
        <v>945</v>
      </c>
      <c r="E172" s="4">
        <f t="shared" si="12"/>
        <v>1885</v>
      </c>
      <c r="F172" s="4">
        <v>65</v>
      </c>
      <c r="G172" s="4">
        <f t="shared" si="13"/>
        <v>1820</v>
      </c>
      <c r="H172" s="5">
        <f t="shared" si="14"/>
        <v>3.4482758620689655E-2</v>
      </c>
      <c r="I172" s="95">
        <v>38</v>
      </c>
      <c r="J172" s="74">
        <f t="shared" si="11"/>
        <v>47.89473684210526</v>
      </c>
    </row>
    <row r="173" spans="1:10">
      <c r="A173" s="2">
        <v>45898</v>
      </c>
      <c r="B173" s="4">
        <v>1</v>
      </c>
      <c r="C173" s="4">
        <v>670</v>
      </c>
      <c r="D173" s="4">
        <v>670</v>
      </c>
      <c r="E173" s="4">
        <f t="shared" si="12"/>
        <v>1340</v>
      </c>
      <c r="F173" s="4">
        <v>15</v>
      </c>
      <c r="G173" s="4">
        <f t="shared" si="13"/>
        <v>1325</v>
      </c>
      <c r="H173" s="5">
        <f t="shared" si="14"/>
        <v>1.1194029850746268E-2</v>
      </c>
      <c r="I173" s="95">
        <v>25</v>
      </c>
      <c r="J173" s="74">
        <f t="shared" si="11"/>
        <v>53</v>
      </c>
    </row>
    <row r="174" spans="1:10">
      <c r="B174" s="15">
        <v>2</v>
      </c>
      <c r="C174" s="4">
        <v>650</v>
      </c>
      <c r="D174" s="4">
        <v>650</v>
      </c>
      <c r="E174" s="4">
        <f t="shared" si="12"/>
        <v>1300</v>
      </c>
      <c r="F174" s="4">
        <v>0</v>
      </c>
      <c r="G174" s="4">
        <f t="shared" si="13"/>
        <v>1300</v>
      </c>
      <c r="H174" s="5">
        <f t="shared" si="14"/>
        <v>0</v>
      </c>
      <c r="I174" s="95">
        <v>25</v>
      </c>
      <c r="J174" s="74">
        <f t="shared" si="11"/>
        <v>52</v>
      </c>
    </row>
    <row r="175" spans="1:10">
      <c r="B175" s="4">
        <v>3</v>
      </c>
      <c r="C175" s="4">
        <v>670</v>
      </c>
      <c r="D175" s="4">
        <v>670</v>
      </c>
      <c r="E175" s="4">
        <f t="shared" si="12"/>
        <v>1340</v>
      </c>
      <c r="F175" s="4">
        <v>25</v>
      </c>
      <c r="G175" s="4">
        <f t="shared" si="13"/>
        <v>1315</v>
      </c>
      <c r="H175" s="5">
        <f t="shared" si="14"/>
        <v>1.8656716417910446E-2</v>
      </c>
      <c r="I175" s="95">
        <v>25</v>
      </c>
      <c r="J175" s="74">
        <f t="shared" si="11"/>
        <v>52.6</v>
      </c>
    </row>
    <row r="176" spans="1:10">
      <c r="B176" s="15">
        <v>4</v>
      </c>
      <c r="C176" s="4">
        <v>590</v>
      </c>
      <c r="D176" s="4">
        <v>590</v>
      </c>
      <c r="E176" s="4">
        <f t="shared" si="12"/>
        <v>1180</v>
      </c>
      <c r="F176" s="4">
        <v>86</v>
      </c>
      <c r="G176" s="4">
        <f>$E176-F176</f>
        <v>1094</v>
      </c>
      <c r="H176" s="5">
        <f>$F176/E176</f>
        <v>7.2881355932203393E-2</v>
      </c>
      <c r="I176" s="95">
        <v>22</v>
      </c>
      <c r="J176" s="74">
        <f>$G176/I176</f>
        <v>49.727272727272727</v>
      </c>
    </row>
    <row r="177" spans="1:10">
      <c r="B177" s="15">
        <v>5</v>
      </c>
      <c r="C177" s="4">
        <v>650</v>
      </c>
      <c r="D177" s="4">
        <v>650</v>
      </c>
      <c r="E177" s="4">
        <f t="shared" si="12"/>
        <v>1300</v>
      </c>
      <c r="F177" s="4">
        <v>0</v>
      </c>
      <c r="G177" s="4">
        <f t="shared" si="13"/>
        <v>1300</v>
      </c>
      <c r="H177" s="5">
        <f t="shared" si="14"/>
        <v>0</v>
      </c>
      <c r="I177" s="95">
        <v>22</v>
      </c>
      <c r="J177" s="74">
        <f t="shared" si="11"/>
        <v>59.090909090909093</v>
      </c>
    </row>
    <row r="178" spans="1:10">
      <c r="B178" s="4">
        <v>6</v>
      </c>
      <c r="C178" s="4">
        <v>945</v>
      </c>
      <c r="D178" s="4">
        <v>945</v>
      </c>
      <c r="E178" s="4">
        <f t="shared" si="12"/>
        <v>1890</v>
      </c>
      <c r="F178" s="4">
        <v>60</v>
      </c>
      <c r="G178" s="4">
        <f t="shared" si="13"/>
        <v>1830</v>
      </c>
      <c r="H178" s="5">
        <f t="shared" si="14"/>
        <v>3.1746031746031744E-2</v>
      </c>
      <c r="I178" s="95">
        <v>38</v>
      </c>
      <c r="J178" s="74">
        <f t="shared" si="11"/>
        <v>48.157894736842103</v>
      </c>
    </row>
    <row r="179" spans="1:10">
      <c r="A179" s="2">
        <v>45899</v>
      </c>
      <c r="B179" s="4">
        <v>1</v>
      </c>
      <c r="C179" s="4">
        <v>670</v>
      </c>
      <c r="D179" s="4">
        <v>670</v>
      </c>
      <c r="E179" s="4">
        <f t="shared" si="12"/>
        <v>1340</v>
      </c>
      <c r="F179" s="4">
        <v>20</v>
      </c>
      <c r="G179" s="4">
        <f t="shared" si="13"/>
        <v>1320</v>
      </c>
      <c r="H179" s="5">
        <f t="shared" si="14"/>
        <v>1.4925373134328358E-2</v>
      </c>
      <c r="I179" s="95">
        <v>25</v>
      </c>
      <c r="J179" s="74">
        <f t="shared" si="11"/>
        <v>52.8</v>
      </c>
    </row>
    <row r="180" spans="1:10">
      <c r="B180" s="15">
        <v>2</v>
      </c>
      <c r="C180" s="4">
        <v>650</v>
      </c>
      <c r="D180" s="4">
        <v>650</v>
      </c>
      <c r="E180" s="4">
        <f t="shared" si="12"/>
        <v>1300</v>
      </c>
      <c r="F180" s="4">
        <v>0</v>
      </c>
      <c r="G180" s="4">
        <f t="shared" si="13"/>
        <v>1300</v>
      </c>
      <c r="H180" s="5">
        <f t="shared" si="14"/>
        <v>0</v>
      </c>
      <c r="I180" s="95">
        <v>25</v>
      </c>
      <c r="J180" s="74">
        <f t="shared" si="11"/>
        <v>52</v>
      </c>
    </row>
    <row r="181" spans="1:10">
      <c r="B181" s="4">
        <v>3</v>
      </c>
      <c r="C181" s="4">
        <v>670</v>
      </c>
      <c r="D181" s="4">
        <v>670</v>
      </c>
      <c r="E181" s="4">
        <f t="shared" si="12"/>
        <v>1340</v>
      </c>
      <c r="F181" s="4">
        <v>35</v>
      </c>
      <c r="G181" s="4">
        <f t="shared" si="13"/>
        <v>1305</v>
      </c>
      <c r="H181" s="5">
        <f t="shared" si="14"/>
        <v>2.6119402985074626E-2</v>
      </c>
      <c r="I181" s="95">
        <v>25</v>
      </c>
      <c r="J181" s="74">
        <f t="shared" si="11"/>
        <v>52.2</v>
      </c>
    </row>
    <row r="182" spans="1:10">
      <c r="B182" s="15">
        <v>4</v>
      </c>
      <c r="C182" s="4">
        <v>590</v>
      </c>
      <c r="D182" s="4">
        <v>590</v>
      </c>
      <c r="E182" s="4">
        <f t="shared" si="12"/>
        <v>1180</v>
      </c>
      <c r="F182" s="4">
        <v>90</v>
      </c>
      <c r="G182" s="4">
        <f t="shared" si="13"/>
        <v>1090</v>
      </c>
      <c r="H182" s="5">
        <f t="shared" si="14"/>
        <v>7.6271186440677971E-2</v>
      </c>
      <c r="I182" s="95">
        <v>22</v>
      </c>
      <c r="J182" s="74">
        <f t="shared" si="11"/>
        <v>49.545454545454547</v>
      </c>
    </row>
    <row r="183" spans="1:10">
      <c r="B183" s="15">
        <v>5</v>
      </c>
      <c r="C183" s="4">
        <v>650</v>
      </c>
      <c r="D183" s="4">
        <v>650</v>
      </c>
      <c r="E183" s="4">
        <f t="shared" si="12"/>
        <v>1300</v>
      </c>
      <c r="F183" s="4">
        <v>0</v>
      </c>
      <c r="G183" s="4">
        <f t="shared" si="13"/>
        <v>1300</v>
      </c>
      <c r="H183" s="5">
        <f t="shared" si="14"/>
        <v>0</v>
      </c>
      <c r="I183" s="95">
        <v>22</v>
      </c>
      <c r="J183" s="74">
        <f t="shared" si="11"/>
        <v>59.090909090909093</v>
      </c>
    </row>
    <row r="184" spans="1:10">
      <c r="B184" s="4">
        <v>6</v>
      </c>
      <c r="C184" s="4">
        <v>945</v>
      </c>
      <c r="D184" s="4">
        <v>945</v>
      </c>
      <c r="E184" s="4">
        <f t="shared" si="12"/>
        <v>1890</v>
      </c>
      <c r="F184" s="4">
        <v>75</v>
      </c>
      <c r="G184" s="4">
        <f t="shared" si="13"/>
        <v>1815</v>
      </c>
      <c r="H184" s="5">
        <f t="shared" si="14"/>
        <v>3.968253968253968E-2</v>
      </c>
      <c r="I184" s="95">
        <v>39</v>
      </c>
      <c r="J184" s="74">
        <f t="shared" si="11"/>
        <v>46.53846153846154</v>
      </c>
    </row>
    <row r="185" spans="1:10">
      <c r="A185" s="2">
        <v>45900</v>
      </c>
      <c r="B185" s="4">
        <v>1</v>
      </c>
      <c r="C185" s="4">
        <v>670</v>
      </c>
      <c r="D185" s="4">
        <v>670</v>
      </c>
      <c r="E185" s="4">
        <f t="shared" si="12"/>
        <v>1340</v>
      </c>
      <c r="F185" s="4">
        <v>35</v>
      </c>
      <c r="G185" s="4">
        <f t="shared" si="13"/>
        <v>1305</v>
      </c>
      <c r="H185" s="5">
        <f t="shared" si="14"/>
        <v>2.6119402985074626E-2</v>
      </c>
      <c r="I185" s="95">
        <v>25</v>
      </c>
      <c r="J185" s="74">
        <f t="shared" si="11"/>
        <v>52.2</v>
      </c>
    </row>
    <row r="186" spans="1:10">
      <c r="B186" s="15">
        <v>2</v>
      </c>
      <c r="C186" s="4">
        <v>650</v>
      </c>
      <c r="D186" s="4">
        <v>650</v>
      </c>
      <c r="E186" s="4">
        <f t="shared" si="12"/>
        <v>1300</v>
      </c>
      <c r="F186" s="4">
        <v>0</v>
      </c>
      <c r="G186" s="4">
        <f t="shared" si="13"/>
        <v>1300</v>
      </c>
      <c r="H186" s="5">
        <f t="shared" si="14"/>
        <v>0</v>
      </c>
      <c r="I186" s="95">
        <v>25</v>
      </c>
      <c r="J186" s="74">
        <f t="shared" si="11"/>
        <v>52</v>
      </c>
    </row>
    <row r="187" spans="1:10">
      <c r="B187" s="4">
        <v>3</v>
      </c>
      <c r="C187" s="4">
        <v>670</v>
      </c>
      <c r="D187" s="4">
        <v>670</v>
      </c>
      <c r="E187" s="4">
        <f t="shared" si="12"/>
        <v>1340</v>
      </c>
      <c r="F187" s="4">
        <v>50</v>
      </c>
      <c r="G187" s="4">
        <f t="shared" si="13"/>
        <v>1290</v>
      </c>
      <c r="H187" s="5">
        <f t="shared" si="14"/>
        <v>3.7313432835820892E-2</v>
      </c>
      <c r="I187" s="95">
        <v>25</v>
      </c>
      <c r="J187" s="74">
        <f t="shared" si="11"/>
        <v>51.6</v>
      </c>
    </row>
    <row r="188" spans="1:10">
      <c r="B188" s="15">
        <v>4</v>
      </c>
      <c r="C188" s="4">
        <v>590</v>
      </c>
      <c r="D188" s="4">
        <v>590</v>
      </c>
      <c r="E188" s="4">
        <f t="shared" si="12"/>
        <v>1180</v>
      </c>
      <c r="F188" s="4">
        <v>65</v>
      </c>
      <c r="G188" s="4">
        <f t="shared" si="13"/>
        <v>1115</v>
      </c>
      <c r="H188" s="5">
        <f t="shared" si="14"/>
        <v>5.5084745762711863E-2</v>
      </c>
      <c r="I188" s="95">
        <v>22</v>
      </c>
      <c r="J188" s="74">
        <f t="shared" si="11"/>
        <v>50.68181818181818</v>
      </c>
    </row>
    <row r="189" spans="1:10">
      <c r="B189" s="15">
        <v>5</v>
      </c>
      <c r="C189" s="4">
        <v>650</v>
      </c>
      <c r="D189" s="4">
        <v>650</v>
      </c>
      <c r="E189" s="4">
        <f t="shared" si="12"/>
        <v>1300</v>
      </c>
      <c r="F189" s="4">
        <v>0</v>
      </c>
      <c r="G189" s="4">
        <f t="shared" si="13"/>
        <v>1300</v>
      </c>
      <c r="H189" s="5">
        <f t="shared" si="14"/>
        <v>0</v>
      </c>
      <c r="I189" s="95">
        <v>22</v>
      </c>
      <c r="J189" s="74">
        <f t="shared" si="11"/>
        <v>59.090909090909093</v>
      </c>
    </row>
    <row r="190" spans="1:10">
      <c r="B190" s="4">
        <v>6</v>
      </c>
      <c r="C190" s="4">
        <v>945</v>
      </c>
      <c r="D190" s="4">
        <v>945</v>
      </c>
      <c r="E190" s="4">
        <f t="shared" si="12"/>
        <v>1890</v>
      </c>
      <c r="F190" s="4">
        <v>40</v>
      </c>
      <c r="G190" s="4">
        <f t="shared" si="13"/>
        <v>1850</v>
      </c>
      <c r="H190" s="5">
        <f t="shared" si="14"/>
        <v>2.1164021164021163E-2</v>
      </c>
      <c r="I190" s="95">
        <v>39</v>
      </c>
      <c r="J190" s="74">
        <f t="shared" si="11"/>
        <v>47.435897435897438</v>
      </c>
    </row>
  </sheetData>
  <mergeCells count="1">
    <mergeCell ref="B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E7F2-9A28-489E-B95D-4DD9BA9930C8}">
  <dimension ref="A2:K190"/>
  <sheetViews>
    <sheetView workbookViewId="0">
      <selection activeCell="L11" sqref="L11"/>
    </sheetView>
  </sheetViews>
  <sheetFormatPr baseColWidth="10" defaultRowHeight="14"/>
  <cols>
    <col min="8" max="8" width="10.6640625" style="95"/>
  </cols>
  <sheetData>
    <row r="2" spans="1:11">
      <c r="B2" s="98" t="s">
        <v>52</v>
      </c>
      <c r="C2" s="98"/>
      <c r="D2" s="98"/>
      <c r="E2" s="98"/>
      <c r="F2" s="98"/>
      <c r="G2" s="98"/>
      <c r="H2" s="98"/>
      <c r="I2" s="98"/>
      <c r="J2" s="4"/>
    </row>
    <row r="3" spans="1:11" ht="14.5" thickBot="1">
      <c r="C3" s="4"/>
      <c r="D3" s="4"/>
      <c r="E3" s="4"/>
      <c r="F3" s="4"/>
      <c r="G3" s="4"/>
      <c r="I3" s="4"/>
      <c r="J3" s="4"/>
    </row>
    <row r="4" spans="1:11" ht="42.5" thickBot="1">
      <c r="A4" s="68" t="s">
        <v>0</v>
      </c>
      <c r="B4" s="69" t="s">
        <v>1</v>
      </c>
      <c r="C4" s="69" t="s">
        <v>2</v>
      </c>
      <c r="D4" s="69" t="s">
        <v>3</v>
      </c>
      <c r="E4" s="69" t="s">
        <v>5</v>
      </c>
      <c r="F4" s="71" t="s">
        <v>4</v>
      </c>
      <c r="G4" s="69" t="s">
        <v>7</v>
      </c>
      <c r="H4" s="72" t="s">
        <v>8</v>
      </c>
      <c r="I4" s="69" t="s">
        <v>44</v>
      </c>
      <c r="J4" s="79" t="s">
        <v>42</v>
      </c>
      <c r="K4" s="72" t="s">
        <v>45</v>
      </c>
    </row>
    <row r="5" spans="1:11">
      <c r="A5" s="2">
        <v>45901</v>
      </c>
      <c r="B5" s="4">
        <v>1</v>
      </c>
      <c r="C5">
        <v>670</v>
      </c>
      <c r="D5">
        <v>670</v>
      </c>
      <c r="E5">
        <f>$C5+D5</f>
        <v>1340</v>
      </c>
      <c r="F5">
        <v>150</v>
      </c>
      <c r="G5">
        <f>$E5-F5</f>
        <v>1190</v>
      </c>
      <c r="H5" s="5">
        <f>$F5/G5</f>
        <v>0.12605042016806722</v>
      </c>
      <c r="I5" s="95">
        <v>25</v>
      </c>
      <c r="J5" s="8">
        <f>$G5/I5</f>
        <v>47.6</v>
      </c>
    </row>
    <row r="6" spans="1:11">
      <c r="B6" s="15">
        <v>2</v>
      </c>
      <c r="C6">
        <v>650</v>
      </c>
      <c r="D6">
        <v>650</v>
      </c>
      <c r="E6">
        <f t="shared" ref="E6:E9" si="0">$C6+D6</f>
        <v>1300</v>
      </c>
      <c r="F6">
        <v>0</v>
      </c>
      <c r="G6">
        <f>$E6-F6</f>
        <v>1300</v>
      </c>
      <c r="H6" s="5">
        <f t="shared" ref="H6:H69" si="1">$F6/G6</f>
        <v>0</v>
      </c>
      <c r="I6" s="95">
        <v>25</v>
      </c>
      <c r="J6" s="8">
        <f t="shared" ref="J6:J69" si="2">$G6/I6</f>
        <v>52</v>
      </c>
    </row>
    <row r="7" spans="1:11">
      <c r="B7" s="4">
        <v>3</v>
      </c>
      <c r="C7">
        <v>670</v>
      </c>
      <c r="D7">
        <v>670</v>
      </c>
      <c r="E7">
        <f t="shared" si="0"/>
        <v>1340</v>
      </c>
      <c r="F7">
        <v>10</v>
      </c>
      <c r="G7">
        <f t="shared" ref="G7:G13" si="3">$E7-F7</f>
        <v>1330</v>
      </c>
      <c r="H7" s="5">
        <f t="shared" si="1"/>
        <v>7.5187969924812026E-3</v>
      </c>
      <c r="I7" s="95">
        <v>25</v>
      </c>
      <c r="J7" s="8">
        <f t="shared" si="2"/>
        <v>53.2</v>
      </c>
    </row>
    <row r="8" spans="1:11">
      <c r="B8" s="15">
        <v>4</v>
      </c>
      <c r="C8">
        <v>590</v>
      </c>
      <c r="D8">
        <v>590</v>
      </c>
      <c r="E8">
        <f t="shared" si="0"/>
        <v>1180</v>
      </c>
      <c r="F8">
        <v>200</v>
      </c>
      <c r="G8">
        <f t="shared" si="3"/>
        <v>980</v>
      </c>
      <c r="H8" s="5">
        <f t="shared" si="1"/>
        <v>0.20408163265306123</v>
      </c>
      <c r="I8" s="95">
        <v>22</v>
      </c>
      <c r="J8" s="8">
        <f t="shared" si="2"/>
        <v>44.545454545454547</v>
      </c>
    </row>
    <row r="9" spans="1:11">
      <c r="B9" s="15">
        <v>5</v>
      </c>
      <c r="C9">
        <v>650</v>
      </c>
      <c r="D9">
        <v>650</v>
      </c>
      <c r="E9">
        <f t="shared" si="0"/>
        <v>1300</v>
      </c>
      <c r="F9">
        <v>0</v>
      </c>
      <c r="G9">
        <f t="shared" si="3"/>
        <v>1300</v>
      </c>
      <c r="H9" s="5">
        <f t="shared" si="1"/>
        <v>0</v>
      </c>
      <c r="I9" s="95">
        <v>22</v>
      </c>
      <c r="J9" s="8">
        <f t="shared" si="2"/>
        <v>59.090909090909093</v>
      </c>
    </row>
    <row r="10" spans="1:11">
      <c r="B10" s="4">
        <v>6</v>
      </c>
      <c r="C10">
        <v>945</v>
      </c>
      <c r="D10">
        <v>945</v>
      </c>
      <c r="E10">
        <f>$C10+D10</f>
        <v>1890</v>
      </c>
      <c r="F10">
        <v>0</v>
      </c>
      <c r="G10">
        <f t="shared" si="3"/>
        <v>1890</v>
      </c>
      <c r="H10" s="5">
        <f t="shared" si="1"/>
        <v>0</v>
      </c>
      <c r="I10" s="95">
        <v>39</v>
      </c>
      <c r="J10" s="8">
        <f t="shared" si="2"/>
        <v>48.46153846153846</v>
      </c>
    </row>
    <row r="11" spans="1:11">
      <c r="A11" s="2">
        <v>45902</v>
      </c>
      <c r="B11" s="4">
        <v>1</v>
      </c>
      <c r="C11">
        <v>700</v>
      </c>
      <c r="D11">
        <v>700</v>
      </c>
      <c r="E11">
        <f t="shared" ref="E11:E74" si="4">$C11+D11</f>
        <v>1400</v>
      </c>
      <c r="F11">
        <v>85</v>
      </c>
      <c r="G11">
        <f t="shared" si="3"/>
        <v>1315</v>
      </c>
      <c r="H11" s="5">
        <f t="shared" si="1"/>
        <v>6.4638783269961975E-2</v>
      </c>
      <c r="I11" s="95">
        <v>30</v>
      </c>
      <c r="J11" s="8">
        <f t="shared" si="2"/>
        <v>43.833333333333336</v>
      </c>
    </row>
    <row r="12" spans="1:11">
      <c r="B12" s="15">
        <v>2</v>
      </c>
      <c r="C12">
        <v>680</v>
      </c>
      <c r="D12">
        <v>680</v>
      </c>
      <c r="E12">
        <f t="shared" si="4"/>
        <v>1360</v>
      </c>
      <c r="F12">
        <v>0</v>
      </c>
      <c r="G12">
        <f t="shared" si="3"/>
        <v>1360</v>
      </c>
      <c r="H12" s="5">
        <f t="shared" si="1"/>
        <v>0</v>
      </c>
      <c r="I12" s="95">
        <v>20</v>
      </c>
      <c r="J12" s="8">
        <f t="shared" si="2"/>
        <v>68</v>
      </c>
    </row>
    <row r="13" spans="1:11">
      <c r="B13" s="4">
        <v>3</v>
      </c>
      <c r="C13">
        <v>670</v>
      </c>
      <c r="D13">
        <v>670</v>
      </c>
      <c r="E13">
        <f t="shared" si="4"/>
        <v>1340</v>
      </c>
      <c r="F13">
        <v>170</v>
      </c>
      <c r="G13">
        <f t="shared" si="3"/>
        <v>1170</v>
      </c>
      <c r="H13" s="5">
        <f t="shared" si="1"/>
        <v>0.14529914529914531</v>
      </c>
      <c r="I13" s="95">
        <v>24</v>
      </c>
      <c r="J13" s="8">
        <f t="shared" si="2"/>
        <v>48.75</v>
      </c>
    </row>
    <row r="14" spans="1:11">
      <c r="B14" s="15">
        <v>4</v>
      </c>
      <c r="C14">
        <v>700</v>
      </c>
      <c r="D14">
        <v>700</v>
      </c>
      <c r="E14">
        <f t="shared" si="4"/>
        <v>1400</v>
      </c>
      <c r="F14">
        <v>320</v>
      </c>
      <c r="G14">
        <f>$E14-F14</f>
        <v>1080</v>
      </c>
      <c r="H14" s="5">
        <f t="shared" si="1"/>
        <v>0.29629629629629628</v>
      </c>
      <c r="I14" s="95">
        <v>21</v>
      </c>
      <c r="J14" s="8">
        <f t="shared" si="2"/>
        <v>51.428571428571431</v>
      </c>
    </row>
    <row r="15" spans="1:11">
      <c r="B15" s="15">
        <v>5</v>
      </c>
      <c r="C15">
        <v>599</v>
      </c>
      <c r="D15">
        <v>599</v>
      </c>
      <c r="E15">
        <f t="shared" si="4"/>
        <v>1198</v>
      </c>
      <c r="F15">
        <v>0</v>
      </c>
      <c r="G15">
        <f t="shared" ref="G15:G78" si="5">$E15-F15</f>
        <v>1198</v>
      </c>
      <c r="H15" s="5">
        <f t="shared" si="1"/>
        <v>0</v>
      </c>
      <c r="I15" s="95">
        <v>20</v>
      </c>
      <c r="J15" s="8">
        <f t="shared" si="2"/>
        <v>59.9</v>
      </c>
    </row>
    <row r="16" spans="1:11">
      <c r="B16" s="4">
        <v>6</v>
      </c>
      <c r="C16">
        <v>800</v>
      </c>
      <c r="D16">
        <v>800</v>
      </c>
      <c r="E16">
        <f t="shared" si="4"/>
        <v>1600</v>
      </c>
      <c r="F16">
        <v>75</v>
      </c>
      <c r="G16">
        <f t="shared" si="5"/>
        <v>1525</v>
      </c>
      <c r="H16" s="5">
        <f t="shared" si="1"/>
        <v>4.9180327868852458E-2</v>
      </c>
      <c r="I16" s="95">
        <v>41</v>
      </c>
      <c r="J16" s="8">
        <f t="shared" si="2"/>
        <v>37.195121951219512</v>
      </c>
    </row>
    <row r="17" spans="1:10">
      <c r="A17" s="2">
        <v>45903</v>
      </c>
      <c r="B17" s="4">
        <v>1</v>
      </c>
      <c r="C17">
        <v>670</v>
      </c>
      <c r="D17">
        <v>650</v>
      </c>
      <c r="E17">
        <f t="shared" si="4"/>
        <v>1320</v>
      </c>
      <c r="F17">
        <v>35</v>
      </c>
      <c r="G17">
        <f t="shared" si="5"/>
        <v>1285</v>
      </c>
      <c r="H17" s="5">
        <f t="shared" si="1"/>
        <v>2.7237354085603113E-2</v>
      </c>
      <c r="I17" s="95">
        <v>30</v>
      </c>
      <c r="J17" s="8">
        <f t="shared" si="2"/>
        <v>42.833333333333336</v>
      </c>
    </row>
    <row r="18" spans="1:10">
      <c r="B18" s="15">
        <v>2</v>
      </c>
      <c r="C18">
        <v>650</v>
      </c>
      <c r="E18">
        <f t="shared" si="4"/>
        <v>650</v>
      </c>
      <c r="F18">
        <v>0</v>
      </c>
      <c r="G18">
        <f t="shared" si="5"/>
        <v>650</v>
      </c>
      <c r="H18" s="5">
        <f t="shared" si="1"/>
        <v>0</v>
      </c>
      <c r="I18" s="95">
        <v>20</v>
      </c>
      <c r="J18" s="8">
        <f t="shared" si="2"/>
        <v>32.5</v>
      </c>
    </row>
    <row r="19" spans="1:10">
      <c r="B19" s="4">
        <v>3</v>
      </c>
      <c r="C19">
        <v>670</v>
      </c>
      <c r="D19">
        <v>600</v>
      </c>
      <c r="E19">
        <f t="shared" si="4"/>
        <v>1270</v>
      </c>
      <c r="F19">
        <v>20</v>
      </c>
      <c r="G19">
        <f t="shared" si="5"/>
        <v>1250</v>
      </c>
      <c r="H19" s="5">
        <f t="shared" si="1"/>
        <v>1.6E-2</v>
      </c>
      <c r="I19" s="95">
        <v>24</v>
      </c>
      <c r="J19" s="8">
        <f t="shared" si="2"/>
        <v>52.083333333333336</v>
      </c>
    </row>
    <row r="20" spans="1:10">
      <c r="B20" s="15">
        <v>4</v>
      </c>
      <c r="C20">
        <v>590</v>
      </c>
      <c r="D20">
        <v>525</v>
      </c>
      <c r="E20">
        <f t="shared" si="4"/>
        <v>1115</v>
      </c>
      <c r="F20">
        <v>30</v>
      </c>
      <c r="G20">
        <f t="shared" si="5"/>
        <v>1085</v>
      </c>
      <c r="H20" s="5">
        <f t="shared" si="1"/>
        <v>2.7649769585253458E-2</v>
      </c>
      <c r="I20" s="95">
        <v>21</v>
      </c>
      <c r="J20" s="8">
        <f t="shared" si="2"/>
        <v>51.666666666666664</v>
      </c>
    </row>
    <row r="21" spans="1:10">
      <c r="B21" s="15">
        <v>5</v>
      </c>
      <c r="C21">
        <v>650</v>
      </c>
      <c r="E21">
        <f t="shared" si="4"/>
        <v>650</v>
      </c>
      <c r="F21">
        <v>0</v>
      </c>
      <c r="G21">
        <f t="shared" si="5"/>
        <v>650</v>
      </c>
      <c r="H21" s="5">
        <f t="shared" si="1"/>
        <v>0</v>
      </c>
      <c r="I21" s="95">
        <v>20</v>
      </c>
      <c r="J21" s="8">
        <f t="shared" si="2"/>
        <v>32.5</v>
      </c>
    </row>
    <row r="22" spans="1:10">
      <c r="B22" s="4">
        <v>6</v>
      </c>
      <c r="C22">
        <v>945</v>
      </c>
      <c r="D22">
        <v>850</v>
      </c>
      <c r="E22">
        <f t="shared" si="4"/>
        <v>1795</v>
      </c>
      <c r="F22">
        <v>55</v>
      </c>
      <c r="G22">
        <f t="shared" si="5"/>
        <v>1740</v>
      </c>
      <c r="H22" s="5">
        <f t="shared" si="1"/>
        <v>3.1609195402298854E-2</v>
      </c>
      <c r="I22" s="95">
        <v>37</v>
      </c>
      <c r="J22" s="8">
        <f t="shared" si="2"/>
        <v>47.027027027027025</v>
      </c>
    </row>
    <row r="23" spans="1:10">
      <c r="A23" s="2">
        <v>45904</v>
      </c>
      <c r="B23" s="4">
        <v>1</v>
      </c>
      <c r="C23">
        <v>650</v>
      </c>
      <c r="D23">
        <v>650</v>
      </c>
      <c r="E23">
        <f t="shared" si="4"/>
        <v>1300</v>
      </c>
      <c r="F23">
        <v>30</v>
      </c>
      <c r="G23">
        <f t="shared" si="5"/>
        <v>1270</v>
      </c>
      <c r="H23" s="5">
        <f t="shared" si="1"/>
        <v>2.3622047244094488E-2</v>
      </c>
      <c r="I23" s="95">
        <v>30</v>
      </c>
      <c r="J23" s="8">
        <f t="shared" si="2"/>
        <v>42.333333333333336</v>
      </c>
    </row>
    <row r="24" spans="1:10">
      <c r="B24" s="15">
        <v>2</v>
      </c>
      <c r="C24">
        <v>560</v>
      </c>
      <c r="D24">
        <v>550</v>
      </c>
      <c r="E24">
        <f t="shared" si="4"/>
        <v>1110</v>
      </c>
      <c r="F24">
        <v>0</v>
      </c>
      <c r="G24">
        <f t="shared" si="5"/>
        <v>1110</v>
      </c>
      <c r="H24" s="5">
        <f t="shared" si="1"/>
        <v>0</v>
      </c>
      <c r="I24" s="95">
        <v>20</v>
      </c>
      <c r="J24" s="8">
        <f t="shared" si="2"/>
        <v>55.5</v>
      </c>
    </row>
    <row r="25" spans="1:10">
      <c r="B25" s="4">
        <v>3</v>
      </c>
      <c r="C25">
        <v>600</v>
      </c>
      <c r="D25">
        <v>600</v>
      </c>
      <c r="E25">
        <f t="shared" si="4"/>
        <v>1200</v>
      </c>
      <c r="F25">
        <v>20</v>
      </c>
      <c r="G25">
        <f t="shared" si="5"/>
        <v>1180</v>
      </c>
      <c r="H25" s="5">
        <f t="shared" si="1"/>
        <v>1.6949152542372881E-2</v>
      </c>
      <c r="I25" s="95">
        <v>24</v>
      </c>
      <c r="J25" s="8">
        <f t="shared" si="2"/>
        <v>49.166666666666664</v>
      </c>
    </row>
    <row r="26" spans="1:10">
      <c r="B26" s="15">
        <v>4</v>
      </c>
      <c r="C26">
        <v>525</v>
      </c>
      <c r="D26">
        <v>525</v>
      </c>
      <c r="E26">
        <f t="shared" si="4"/>
        <v>1050</v>
      </c>
      <c r="F26">
        <v>15</v>
      </c>
      <c r="G26">
        <f t="shared" si="5"/>
        <v>1035</v>
      </c>
      <c r="H26" s="5">
        <f t="shared" si="1"/>
        <v>1.4492753623188406E-2</v>
      </c>
      <c r="I26" s="95">
        <v>21</v>
      </c>
      <c r="J26" s="8">
        <f t="shared" si="2"/>
        <v>49.285714285714285</v>
      </c>
    </row>
    <row r="27" spans="1:10">
      <c r="B27" s="15">
        <v>5</v>
      </c>
      <c r="C27">
        <v>560</v>
      </c>
      <c r="D27">
        <v>550</v>
      </c>
      <c r="E27">
        <f t="shared" si="4"/>
        <v>1110</v>
      </c>
      <c r="F27">
        <v>0</v>
      </c>
      <c r="G27">
        <f t="shared" si="5"/>
        <v>1110</v>
      </c>
      <c r="H27" s="5">
        <f t="shared" si="1"/>
        <v>0</v>
      </c>
      <c r="I27" s="95">
        <v>20</v>
      </c>
      <c r="J27" s="8">
        <f t="shared" si="2"/>
        <v>55.5</v>
      </c>
    </row>
    <row r="28" spans="1:10">
      <c r="B28" s="4">
        <v>6</v>
      </c>
      <c r="C28">
        <v>850</v>
      </c>
      <c r="D28">
        <v>900</v>
      </c>
      <c r="E28">
        <f t="shared" si="4"/>
        <v>1750</v>
      </c>
      <c r="F28">
        <v>40</v>
      </c>
      <c r="G28">
        <f t="shared" si="5"/>
        <v>1710</v>
      </c>
      <c r="H28" s="5">
        <f t="shared" si="1"/>
        <v>2.3391812865497075E-2</v>
      </c>
      <c r="I28" s="95">
        <v>37</v>
      </c>
      <c r="J28" s="8">
        <f t="shared" si="2"/>
        <v>46.216216216216218</v>
      </c>
    </row>
    <row r="29" spans="1:10">
      <c r="A29" s="2">
        <v>45905</v>
      </c>
      <c r="B29" s="4">
        <v>1</v>
      </c>
      <c r="C29">
        <v>650</v>
      </c>
      <c r="D29">
        <v>650</v>
      </c>
      <c r="E29">
        <f t="shared" si="4"/>
        <v>1300</v>
      </c>
      <c r="F29">
        <v>50</v>
      </c>
      <c r="G29">
        <f t="shared" si="5"/>
        <v>1250</v>
      </c>
      <c r="H29" s="5">
        <f t="shared" si="1"/>
        <v>0.04</v>
      </c>
      <c r="I29" s="95">
        <v>30</v>
      </c>
      <c r="J29" s="8">
        <f t="shared" si="2"/>
        <v>41.666666666666664</v>
      </c>
    </row>
    <row r="30" spans="1:10">
      <c r="B30" s="15">
        <v>2</v>
      </c>
      <c r="C30">
        <v>550</v>
      </c>
      <c r="D30">
        <v>550</v>
      </c>
      <c r="E30">
        <f t="shared" si="4"/>
        <v>1100</v>
      </c>
      <c r="F30">
        <v>0</v>
      </c>
      <c r="G30">
        <f t="shared" si="5"/>
        <v>1100</v>
      </c>
      <c r="H30" s="5">
        <f t="shared" si="1"/>
        <v>0</v>
      </c>
      <c r="I30" s="95">
        <v>20</v>
      </c>
      <c r="J30" s="8">
        <f t="shared" si="2"/>
        <v>55</v>
      </c>
    </row>
    <row r="31" spans="1:10">
      <c r="B31" s="4">
        <v>3</v>
      </c>
      <c r="C31">
        <v>600</v>
      </c>
      <c r="D31">
        <v>600</v>
      </c>
      <c r="E31">
        <f t="shared" si="4"/>
        <v>1200</v>
      </c>
      <c r="F31">
        <v>65</v>
      </c>
      <c r="G31">
        <f t="shared" si="5"/>
        <v>1135</v>
      </c>
      <c r="H31" s="5">
        <f t="shared" si="1"/>
        <v>5.7268722466960353E-2</v>
      </c>
      <c r="I31" s="95">
        <v>24</v>
      </c>
      <c r="J31" s="8">
        <f t="shared" si="2"/>
        <v>47.291666666666664</v>
      </c>
    </row>
    <row r="32" spans="1:10">
      <c r="B32" s="15">
        <v>4</v>
      </c>
      <c r="C32">
        <v>525</v>
      </c>
      <c r="D32">
        <v>525</v>
      </c>
      <c r="E32">
        <f t="shared" si="4"/>
        <v>1050</v>
      </c>
      <c r="F32">
        <v>55</v>
      </c>
      <c r="G32">
        <f t="shared" si="5"/>
        <v>995</v>
      </c>
      <c r="H32" s="5">
        <f t="shared" si="1"/>
        <v>5.5276381909547742E-2</v>
      </c>
      <c r="I32" s="95">
        <v>21</v>
      </c>
      <c r="J32" s="8">
        <f t="shared" si="2"/>
        <v>47.38095238095238</v>
      </c>
    </row>
    <row r="33" spans="1:10">
      <c r="B33" s="15">
        <v>5</v>
      </c>
      <c r="C33">
        <v>550</v>
      </c>
      <c r="D33">
        <v>550</v>
      </c>
      <c r="E33">
        <f t="shared" si="4"/>
        <v>1100</v>
      </c>
      <c r="F33">
        <v>0</v>
      </c>
      <c r="G33">
        <f t="shared" si="5"/>
        <v>1100</v>
      </c>
      <c r="H33" s="5">
        <f t="shared" si="1"/>
        <v>0</v>
      </c>
      <c r="I33" s="95">
        <v>20</v>
      </c>
      <c r="J33" s="8">
        <f t="shared" si="2"/>
        <v>55</v>
      </c>
    </row>
    <row r="34" spans="1:10">
      <c r="B34" s="4">
        <v>6</v>
      </c>
      <c r="C34">
        <v>900</v>
      </c>
      <c r="D34">
        <v>900</v>
      </c>
      <c r="E34">
        <f t="shared" si="4"/>
        <v>1800</v>
      </c>
      <c r="F34">
        <v>40</v>
      </c>
      <c r="G34">
        <f t="shared" si="5"/>
        <v>1760</v>
      </c>
      <c r="H34" s="5">
        <f t="shared" si="1"/>
        <v>2.2727272727272728E-2</v>
      </c>
      <c r="I34" s="95">
        <v>37</v>
      </c>
      <c r="J34" s="8">
        <f t="shared" si="2"/>
        <v>47.567567567567565</v>
      </c>
    </row>
    <row r="35" spans="1:10">
      <c r="A35" s="2">
        <v>45906</v>
      </c>
      <c r="B35" s="4">
        <v>1</v>
      </c>
      <c r="C35">
        <v>650</v>
      </c>
      <c r="D35">
        <v>650</v>
      </c>
      <c r="E35">
        <f t="shared" si="4"/>
        <v>1300</v>
      </c>
      <c r="F35">
        <v>75</v>
      </c>
      <c r="G35">
        <f t="shared" si="5"/>
        <v>1225</v>
      </c>
      <c r="H35" s="5">
        <f t="shared" si="1"/>
        <v>6.1224489795918366E-2</v>
      </c>
      <c r="I35" s="95">
        <v>30</v>
      </c>
      <c r="J35" s="8">
        <f t="shared" si="2"/>
        <v>40.833333333333336</v>
      </c>
    </row>
    <row r="36" spans="1:10">
      <c r="B36" s="15">
        <v>2</v>
      </c>
      <c r="C36">
        <v>550</v>
      </c>
      <c r="D36">
        <v>550</v>
      </c>
      <c r="E36">
        <f t="shared" si="4"/>
        <v>1100</v>
      </c>
      <c r="F36">
        <v>0</v>
      </c>
      <c r="G36">
        <f t="shared" si="5"/>
        <v>1100</v>
      </c>
      <c r="H36" s="5">
        <f t="shared" si="1"/>
        <v>0</v>
      </c>
      <c r="I36" s="95">
        <v>20</v>
      </c>
      <c r="J36" s="8">
        <f t="shared" si="2"/>
        <v>55</v>
      </c>
    </row>
    <row r="37" spans="1:10">
      <c r="B37" s="4">
        <v>3</v>
      </c>
      <c r="C37">
        <v>600</v>
      </c>
      <c r="D37">
        <v>600</v>
      </c>
      <c r="E37">
        <f t="shared" si="4"/>
        <v>1200</v>
      </c>
      <c r="F37">
        <v>40</v>
      </c>
      <c r="G37">
        <f t="shared" si="5"/>
        <v>1160</v>
      </c>
      <c r="H37" s="5">
        <f t="shared" si="1"/>
        <v>3.4482758620689655E-2</v>
      </c>
      <c r="I37" s="95">
        <v>24</v>
      </c>
      <c r="J37" s="8">
        <f t="shared" si="2"/>
        <v>48.333333333333336</v>
      </c>
    </row>
    <row r="38" spans="1:10">
      <c r="B38" s="15">
        <v>4</v>
      </c>
      <c r="C38">
        <v>525</v>
      </c>
      <c r="D38">
        <v>525</v>
      </c>
      <c r="E38">
        <f t="shared" si="4"/>
        <v>1050</v>
      </c>
      <c r="F38">
        <v>80</v>
      </c>
      <c r="G38">
        <f t="shared" si="5"/>
        <v>970</v>
      </c>
      <c r="H38" s="5">
        <f t="shared" si="1"/>
        <v>8.247422680412371E-2</v>
      </c>
      <c r="I38" s="95">
        <v>21</v>
      </c>
      <c r="J38" s="8">
        <f t="shared" si="2"/>
        <v>46.19047619047619</v>
      </c>
    </row>
    <row r="39" spans="1:10">
      <c r="B39" s="15">
        <v>5</v>
      </c>
      <c r="C39">
        <v>550</v>
      </c>
      <c r="D39">
        <v>550</v>
      </c>
      <c r="E39">
        <f t="shared" si="4"/>
        <v>1100</v>
      </c>
      <c r="F39">
        <v>0</v>
      </c>
      <c r="G39">
        <f t="shared" si="5"/>
        <v>1100</v>
      </c>
      <c r="H39" s="5">
        <f t="shared" si="1"/>
        <v>0</v>
      </c>
      <c r="I39" s="95">
        <v>20</v>
      </c>
      <c r="J39" s="8">
        <f t="shared" si="2"/>
        <v>55</v>
      </c>
    </row>
    <row r="40" spans="1:10">
      <c r="B40" s="4">
        <v>6</v>
      </c>
      <c r="C40">
        <v>900</v>
      </c>
      <c r="D40">
        <v>900</v>
      </c>
      <c r="E40">
        <f t="shared" si="4"/>
        <v>1800</v>
      </c>
      <c r="F40">
        <v>60</v>
      </c>
      <c r="G40">
        <f t="shared" si="5"/>
        <v>1740</v>
      </c>
      <c r="H40" s="5">
        <f t="shared" si="1"/>
        <v>3.4482758620689655E-2</v>
      </c>
      <c r="I40" s="95">
        <v>37</v>
      </c>
      <c r="J40" s="8">
        <f t="shared" si="2"/>
        <v>47.027027027027025</v>
      </c>
    </row>
    <row r="41" spans="1:10">
      <c r="A41" s="2">
        <v>45907</v>
      </c>
      <c r="B41" s="4">
        <v>1</v>
      </c>
      <c r="C41">
        <v>650</v>
      </c>
      <c r="D41">
        <v>650</v>
      </c>
      <c r="E41">
        <f t="shared" si="4"/>
        <v>1300</v>
      </c>
      <c r="F41">
        <v>75</v>
      </c>
      <c r="G41">
        <f t="shared" si="5"/>
        <v>1225</v>
      </c>
      <c r="H41" s="5">
        <f t="shared" si="1"/>
        <v>6.1224489795918366E-2</v>
      </c>
      <c r="I41" s="95">
        <v>30</v>
      </c>
      <c r="J41" s="8">
        <f t="shared" si="2"/>
        <v>40.833333333333336</v>
      </c>
    </row>
    <row r="42" spans="1:10">
      <c r="B42" s="15">
        <v>2</v>
      </c>
      <c r="C42">
        <v>550</v>
      </c>
      <c r="D42">
        <v>550</v>
      </c>
      <c r="E42">
        <f t="shared" si="4"/>
        <v>1100</v>
      </c>
      <c r="F42">
        <v>0</v>
      </c>
      <c r="G42">
        <f t="shared" si="5"/>
        <v>1100</v>
      </c>
      <c r="H42" s="5">
        <f t="shared" si="1"/>
        <v>0</v>
      </c>
      <c r="I42" s="95">
        <v>20</v>
      </c>
      <c r="J42" s="8">
        <f t="shared" si="2"/>
        <v>55</v>
      </c>
    </row>
    <row r="43" spans="1:10">
      <c r="B43" s="4">
        <v>3</v>
      </c>
      <c r="C43">
        <v>600</v>
      </c>
      <c r="D43">
        <v>600</v>
      </c>
      <c r="E43">
        <f t="shared" si="4"/>
        <v>1200</v>
      </c>
      <c r="F43">
        <v>15</v>
      </c>
      <c r="G43">
        <f t="shared" si="5"/>
        <v>1185</v>
      </c>
      <c r="H43" s="5">
        <f t="shared" si="1"/>
        <v>1.2658227848101266E-2</v>
      </c>
      <c r="I43" s="95">
        <v>24</v>
      </c>
      <c r="J43" s="8">
        <f t="shared" si="2"/>
        <v>49.375</v>
      </c>
    </row>
    <row r="44" spans="1:10">
      <c r="B44" s="15">
        <v>4</v>
      </c>
      <c r="C44">
        <v>525</v>
      </c>
      <c r="D44">
        <v>525</v>
      </c>
      <c r="E44">
        <f t="shared" si="4"/>
        <v>1050</v>
      </c>
      <c r="F44">
        <v>50</v>
      </c>
      <c r="G44">
        <f t="shared" si="5"/>
        <v>1000</v>
      </c>
      <c r="H44" s="5">
        <f t="shared" si="1"/>
        <v>0.05</v>
      </c>
      <c r="I44" s="95">
        <v>21</v>
      </c>
      <c r="J44" s="8">
        <f t="shared" si="2"/>
        <v>47.61904761904762</v>
      </c>
    </row>
    <row r="45" spans="1:10">
      <c r="B45" s="15">
        <v>5</v>
      </c>
      <c r="C45">
        <v>550</v>
      </c>
      <c r="D45">
        <v>550</v>
      </c>
      <c r="E45">
        <f t="shared" si="4"/>
        <v>1100</v>
      </c>
      <c r="F45">
        <v>0</v>
      </c>
      <c r="G45">
        <f t="shared" si="5"/>
        <v>1100</v>
      </c>
      <c r="H45" s="5">
        <f t="shared" si="1"/>
        <v>0</v>
      </c>
      <c r="I45" s="95">
        <v>20</v>
      </c>
      <c r="J45" s="8">
        <f t="shared" si="2"/>
        <v>55</v>
      </c>
    </row>
    <row r="46" spans="1:10">
      <c r="B46" s="4">
        <v>6</v>
      </c>
      <c r="C46">
        <v>900</v>
      </c>
      <c r="D46">
        <v>900</v>
      </c>
      <c r="E46">
        <f t="shared" si="4"/>
        <v>1800</v>
      </c>
      <c r="F46">
        <v>40</v>
      </c>
      <c r="G46">
        <f t="shared" si="5"/>
        <v>1760</v>
      </c>
      <c r="H46" s="5">
        <f t="shared" si="1"/>
        <v>2.2727272727272728E-2</v>
      </c>
      <c r="I46" s="95">
        <v>37</v>
      </c>
      <c r="J46" s="8">
        <f t="shared" si="2"/>
        <v>47.567567567567565</v>
      </c>
    </row>
    <row r="47" spans="1:10">
      <c r="A47" s="2">
        <v>45908</v>
      </c>
      <c r="B47" s="4">
        <v>1</v>
      </c>
      <c r="C47">
        <v>650</v>
      </c>
      <c r="D47">
        <v>650</v>
      </c>
      <c r="E47">
        <f t="shared" si="4"/>
        <v>1300</v>
      </c>
      <c r="F47">
        <v>90</v>
      </c>
      <c r="G47">
        <f t="shared" si="5"/>
        <v>1210</v>
      </c>
      <c r="H47" s="5">
        <f t="shared" si="1"/>
        <v>7.43801652892562E-2</v>
      </c>
      <c r="I47" s="95">
        <v>30</v>
      </c>
      <c r="J47" s="8">
        <f t="shared" si="2"/>
        <v>40.333333333333336</v>
      </c>
    </row>
    <row r="48" spans="1:10">
      <c r="B48" s="15">
        <v>2</v>
      </c>
      <c r="C48">
        <v>560</v>
      </c>
      <c r="D48">
        <v>560</v>
      </c>
      <c r="E48">
        <f t="shared" si="4"/>
        <v>1120</v>
      </c>
      <c r="F48">
        <v>0</v>
      </c>
      <c r="G48">
        <f t="shared" si="5"/>
        <v>1120</v>
      </c>
      <c r="H48" s="5">
        <f t="shared" si="1"/>
        <v>0</v>
      </c>
      <c r="I48" s="95">
        <v>20</v>
      </c>
      <c r="J48" s="8">
        <f t="shared" si="2"/>
        <v>56</v>
      </c>
    </row>
    <row r="49" spans="1:10">
      <c r="B49" s="4">
        <v>3</v>
      </c>
      <c r="C49">
        <v>600</v>
      </c>
      <c r="D49">
        <v>600</v>
      </c>
      <c r="E49">
        <f t="shared" si="4"/>
        <v>1200</v>
      </c>
      <c r="F49">
        <v>10</v>
      </c>
      <c r="G49">
        <f t="shared" si="5"/>
        <v>1190</v>
      </c>
      <c r="H49" s="5">
        <f t="shared" si="1"/>
        <v>8.4033613445378148E-3</v>
      </c>
      <c r="I49" s="95">
        <v>24</v>
      </c>
      <c r="J49" s="8">
        <f t="shared" si="2"/>
        <v>49.583333333333336</v>
      </c>
    </row>
    <row r="50" spans="1:10">
      <c r="B50" s="15">
        <v>4</v>
      </c>
      <c r="C50">
        <v>525</v>
      </c>
      <c r="D50">
        <v>525</v>
      </c>
      <c r="E50">
        <f t="shared" si="4"/>
        <v>1050</v>
      </c>
      <c r="F50">
        <v>25</v>
      </c>
      <c r="G50">
        <f t="shared" si="5"/>
        <v>1025</v>
      </c>
      <c r="H50" s="5">
        <f t="shared" si="1"/>
        <v>2.4390243902439025E-2</v>
      </c>
      <c r="I50" s="95">
        <v>21</v>
      </c>
      <c r="J50" s="8">
        <f t="shared" si="2"/>
        <v>48.80952380952381</v>
      </c>
    </row>
    <row r="51" spans="1:10">
      <c r="B51" s="15">
        <v>5</v>
      </c>
      <c r="C51">
        <v>560</v>
      </c>
      <c r="D51">
        <v>560</v>
      </c>
      <c r="E51">
        <f t="shared" si="4"/>
        <v>1120</v>
      </c>
      <c r="F51">
        <v>0</v>
      </c>
      <c r="G51">
        <f t="shared" si="5"/>
        <v>1120</v>
      </c>
      <c r="H51" s="5">
        <f t="shared" si="1"/>
        <v>0</v>
      </c>
      <c r="I51" s="95">
        <v>20</v>
      </c>
      <c r="J51" s="8">
        <f t="shared" si="2"/>
        <v>56</v>
      </c>
    </row>
    <row r="52" spans="1:10">
      <c r="B52" s="4">
        <v>6</v>
      </c>
      <c r="C52">
        <v>850</v>
      </c>
      <c r="D52">
        <v>850</v>
      </c>
      <c r="E52">
        <f t="shared" si="4"/>
        <v>1700</v>
      </c>
      <c r="F52">
        <v>100</v>
      </c>
      <c r="G52">
        <f t="shared" si="5"/>
        <v>1600</v>
      </c>
      <c r="H52" s="5">
        <f t="shared" si="1"/>
        <v>6.25E-2</v>
      </c>
      <c r="I52" s="95">
        <v>37</v>
      </c>
      <c r="J52" s="8">
        <f t="shared" si="2"/>
        <v>43.243243243243242</v>
      </c>
    </row>
    <row r="53" spans="1:10">
      <c r="A53" s="2">
        <v>45909</v>
      </c>
      <c r="B53" s="4">
        <v>1</v>
      </c>
      <c r="C53">
        <v>650</v>
      </c>
      <c r="D53">
        <v>650</v>
      </c>
      <c r="E53">
        <f t="shared" si="4"/>
        <v>1300</v>
      </c>
      <c r="F53">
        <v>65</v>
      </c>
      <c r="G53">
        <f t="shared" si="5"/>
        <v>1235</v>
      </c>
      <c r="H53" s="5">
        <f t="shared" si="1"/>
        <v>5.2631578947368418E-2</v>
      </c>
      <c r="I53" s="95">
        <v>30</v>
      </c>
      <c r="J53" s="8">
        <f t="shared" si="2"/>
        <v>41.166666666666664</v>
      </c>
    </row>
    <row r="54" spans="1:10">
      <c r="B54" s="15">
        <v>2</v>
      </c>
      <c r="C54">
        <v>560</v>
      </c>
      <c r="D54">
        <v>560</v>
      </c>
      <c r="E54">
        <f t="shared" si="4"/>
        <v>1120</v>
      </c>
      <c r="F54">
        <v>0</v>
      </c>
      <c r="G54">
        <f t="shared" si="5"/>
        <v>1120</v>
      </c>
      <c r="H54" s="5">
        <f t="shared" si="1"/>
        <v>0</v>
      </c>
      <c r="I54" s="95">
        <v>20</v>
      </c>
      <c r="J54" s="8">
        <f t="shared" si="2"/>
        <v>56</v>
      </c>
    </row>
    <row r="55" spans="1:10">
      <c r="B55" s="4">
        <v>3</v>
      </c>
      <c r="C55">
        <v>600</v>
      </c>
      <c r="D55">
        <v>600</v>
      </c>
      <c r="E55">
        <f t="shared" si="4"/>
        <v>1200</v>
      </c>
      <c r="F55">
        <v>30</v>
      </c>
      <c r="G55">
        <f t="shared" si="5"/>
        <v>1170</v>
      </c>
      <c r="H55" s="5">
        <f t="shared" si="1"/>
        <v>2.564102564102564E-2</v>
      </c>
      <c r="I55" s="95">
        <v>24</v>
      </c>
      <c r="J55" s="8">
        <f t="shared" si="2"/>
        <v>48.75</v>
      </c>
    </row>
    <row r="56" spans="1:10">
      <c r="B56" s="15">
        <v>4</v>
      </c>
      <c r="C56">
        <v>550</v>
      </c>
      <c r="D56">
        <v>525</v>
      </c>
      <c r="E56">
        <f t="shared" si="4"/>
        <v>1075</v>
      </c>
      <c r="F56">
        <v>45</v>
      </c>
      <c r="G56">
        <f t="shared" si="5"/>
        <v>1030</v>
      </c>
      <c r="H56" s="5">
        <f t="shared" si="1"/>
        <v>4.3689320388349516E-2</v>
      </c>
      <c r="I56" s="95">
        <v>21</v>
      </c>
      <c r="J56" s="8">
        <f t="shared" si="2"/>
        <v>49.047619047619051</v>
      </c>
    </row>
    <row r="57" spans="1:10">
      <c r="B57" s="15">
        <v>5</v>
      </c>
      <c r="C57">
        <v>560</v>
      </c>
      <c r="D57">
        <v>560</v>
      </c>
      <c r="E57">
        <f t="shared" si="4"/>
        <v>1120</v>
      </c>
      <c r="F57">
        <v>0</v>
      </c>
      <c r="G57">
        <f t="shared" si="5"/>
        <v>1120</v>
      </c>
      <c r="H57" s="5">
        <f t="shared" si="1"/>
        <v>0</v>
      </c>
      <c r="I57" s="95">
        <v>20</v>
      </c>
      <c r="J57" s="8">
        <f t="shared" si="2"/>
        <v>56</v>
      </c>
    </row>
    <row r="58" spans="1:10">
      <c r="B58" s="4">
        <v>6</v>
      </c>
      <c r="C58">
        <v>850</v>
      </c>
      <c r="D58">
        <v>850</v>
      </c>
      <c r="E58">
        <f t="shared" si="4"/>
        <v>1700</v>
      </c>
      <c r="F58">
        <v>50</v>
      </c>
      <c r="G58">
        <f t="shared" si="5"/>
        <v>1650</v>
      </c>
      <c r="H58" s="5">
        <f t="shared" si="1"/>
        <v>3.0303030303030304E-2</v>
      </c>
      <c r="I58" s="95">
        <v>39</v>
      </c>
      <c r="J58" s="8">
        <f t="shared" si="2"/>
        <v>42.307692307692307</v>
      </c>
    </row>
    <row r="59" spans="1:10">
      <c r="A59" s="2">
        <v>45910</v>
      </c>
      <c r="B59" s="4">
        <v>1</v>
      </c>
      <c r="C59">
        <v>650</v>
      </c>
      <c r="D59">
        <v>650</v>
      </c>
      <c r="E59">
        <f t="shared" si="4"/>
        <v>1300</v>
      </c>
      <c r="F59">
        <v>105</v>
      </c>
      <c r="G59">
        <f t="shared" si="5"/>
        <v>1195</v>
      </c>
      <c r="H59" s="5">
        <f t="shared" si="1"/>
        <v>8.7866108786610872E-2</v>
      </c>
      <c r="I59" s="95">
        <v>30</v>
      </c>
      <c r="J59" s="8">
        <f t="shared" si="2"/>
        <v>39.833333333333336</v>
      </c>
    </row>
    <row r="60" spans="1:10">
      <c r="B60" s="15">
        <v>2</v>
      </c>
      <c r="C60">
        <v>560</v>
      </c>
      <c r="D60">
        <v>560</v>
      </c>
      <c r="E60">
        <f t="shared" si="4"/>
        <v>1120</v>
      </c>
      <c r="F60">
        <v>0</v>
      </c>
      <c r="G60">
        <f t="shared" si="5"/>
        <v>1120</v>
      </c>
      <c r="H60" s="5">
        <f t="shared" si="1"/>
        <v>0</v>
      </c>
      <c r="I60" s="95">
        <v>20</v>
      </c>
      <c r="J60" s="8">
        <f t="shared" si="2"/>
        <v>56</v>
      </c>
    </row>
    <row r="61" spans="1:10">
      <c r="B61" s="4">
        <v>3</v>
      </c>
      <c r="C61">
        <v>600</v>
      </c>
      <c r="D61">
        <v>600</v>
      </c>
      <c r="E61">
        <f t="shared" si="4"/>
        <v>1200</v>
      </c>
      <c r="F61">
        <v>25</v>
      </c>
      <c r="G61">
        <f t="shared" si="5"/>
        <v>1175</v>
      </c>
      <c r="H61" s="5">
        <f t="shared" si="1"/>
        <v>2.1276595744680851E-2</v>
      </c>
      <c r="I61" s="95">
        <v>24</v>
      </c>
      <c r="J61" s="8">
        <f t="shared" si="2"/>
        <v>48.958333333333336</v>
      </c>
    </row>
    <row r="62" spans="1:10">
      <c r="B62" s="15">
        <v>4</v>
      </c>
      <c r="C62">
        <v>550</v>
      </c>
      <c r="D62">
        <v>550</v>
      </c>
      <c r="E62">
        <f t="shared" si="4"/>
        <v>1100</v>
      </c>
      <c r="F62">
        <v>120</v>
      </c>
      <c r="G62">
        <f t="shared" si="5"/>
        <v>980</v>
      </c>
      <c r="H62" s="5">
        <f t="shared" si="1"/>
        <v>0.12244897959183673</v>
      </c>
      <c r="I62" s="95">
        <v>21</v>
      </c>
      <c r="J62" s="8">
        <f t="shared" si="2"/>
        <v>46.666666666666664</v>
      </c>
    </row>
    <row r="63" spans="1:10">
      <c r="B63" s="15">
        <v>5</v>
      </c>
      <c r="C63">
        <v>560</v>
      </c>
      <c r="D63">
        <v>560</v>
      </c>
      <c r="E63">
        <f t="shared" si="4"/>
        <v>1120</v>
      </c>
      <c r="F63">
        <v>0</v>
      </c>
      <c r="G63">
        <f t="shared" si="5"/>
        <v>1120</v>
      </c>
      <c r="H63" s="5">
        <f t="shared" si="1"/>
        <v>0</v>
      </c>
      <c r="I63" s="95">
        <v>20</v>
      </c>
      <c r="J63" s="8">
        <f t="shared" si="2"/>
        <v>56</v>
      </c>
    </row>
    <row r="64" spans="1:10">
      <c r="B64" s="4">
        <v>6</v>
      </c>
      <c r="C64">
        <v>850</v>
      </c>
      <c r="D64">
        <v>850</v>
      </c>
      <c r="E64">
        <f t="shared" si="4"/>
        <v>1700</v>
      </c>
      <c r="F64">
        <v>60</v>
      </c>
      <c r="G64">
        <f t="shared" si="5"/>
        <v>1640</v>
      </c>
      <c r="H64" s="5">
        <f t="shared" si="1"/>
        <v>3.6585365853658534E-2</v>
      </c>
      <c r="I64" s="95">
        <v>39</v>
      </c>
      <c r="J64" s="8">
        <f t="shared" si="2"/>
        <v>42.051282051282051</v>
      </c>
    </row>
    <row r="65" spans="1:10">
      <c r="A65" s="2">
        <v>45911</v>
      </c>
      <c r="B65" s="4">
        <v>1</v>
      </c>
      <c r="C65">
        <v>615</v>
      </c>
      <c r="D65">
        <v>615</v>
      </c>
      <c r="E65">
        <f t="shared" si="4"/>
        <v>1230</v>
      </c>
      <c r="F65">
        <v>60</v>
      </c>
      <c r="G65">
        <f t="shared" si="5"/>
        <v>1170</v>
      </c>
      <c r="H65" s="5">
        <f t="shared" si="1"/>
        <v>5.128205128205128E-2</v>
      </c>
      <c r="I65" s="95">
        <v>30</v>
      </c>
      <c r="J65" s="8">
        <f t="shared" si="2"/>
        <v>39</v>
      </c>
    </row>
    <row r="66" spans="1:10">
      <c r="B66" s="15">
        <v>2</v>
      </c>
      <c r="C66">
        <v>590</v>
      </c>
      <c r="D66">
        <v>590</v>
      </c>
      <c r="E66">
        <f t="shared" si="4"/>
        <v>1180</v>
      </c>
      <c r="F66">
        <v>0</v>
      </c>
      <c r="G66">
        <f t="shared" si="5"/>
        <v>1180</v>
      </c>
      <c r="H66" s="5">
        <f t="shared" si="1"/>
        <v>0</v>
      </c>
      <c r="I66" s="95">
        <v>20</v>
      </c>
      <c r="J66" s="8">
        <f t="shared" si="2"/>
        <v>59</v>
      </c>
    </row>
    <row r="67" spans="1:10">
      <c r="B67" s="4">
        <v>3</v>
      </c>
      <c r="C67">
        <v>520</v>
      </c>
      <c r="D67">
        <v>520</v>
      </c>
      <c r="E67">
        <f t="shared" si="4"/>
        <v>1040</v>
      </c>
      <c r="F67">
        <v>25</v>
      </c>
      <c r="G67">
        <f t="shared" si="5"/>
        <v>1015</v>
      </c>
      <c r="H67" s="5">
        <f t="shared" si="1"/>
        <v>2.4630541871921183E-2</v>
      </c>
      <c r="I67" s="95">
        <v>24</v>
      </c>
      <c r="J67" s="8">
        <f t="shared" si="2"/>
        <v>42.291666666666664</v>
      </c>
    </row>
    <row r="68" spans="1:10">
      <c r="B68" s="15">
        <v>4</v>
      </c>
      <c r="C68">
        <v>550</v>
      </c>
      <c r="D68">
        <v>525</v>
      </c>
      <c r="E68">
        <f t="shared" si="4"/>
        <v>1075</v>
      </c>
      <c r="F68">
        <v>115</v>
      </c>
      <c r="G68">
        <f t="shared" si="5"/>
        <v>960</v>
      </c>
      <c r="H68" s="5">
        <f t="shared" si="1"/>
        <v>0.11979166666666667</v>
      </c>
      <c r="I68" s="95">
        <v>21</v>
      </c>
      <c r="J68" s="8">
        <f t="shared" si="2"/>
        <v>45.714285714285715</v>
      </c>
    </row>
    <row r="69" spans="1:10">
      <c r="B69" s="15">
        <v>5</v>
      </c>
      <c r="C69">
        <v>560</v>
      </c>
      <c r="D69">
        <v>480</v>
      </c>
      <c r="E69">
        <f t="shared" si="4"/>
        <v>1040</v>
      </c>
      <c r="F69">
        <v>0</v>
      </c>
      <c r="G69">
        <f t="shared" si="5"/>
        <v>1040</v>
      </c>
      <c r="H69" s="5">
        <f t="shared" si="1"/>
        <v>0</v>
      </c>
      <c r="I69" s="95">
        <v>20</v>
      </c>
      <c r="J69" s="8">
        <f t="shared" si="2"/>
        <v>52</v>
      </c>
    </row>
    <row r="70" spans="1:10">
      <c r="B70" s="4">
        <v>6</v>
      </c>
      <c r="C70">
        <v>900</v>
      </c>
      <c r="D70">
        <v>900</v>
      </c>
      <c r="E70">
        <f t="shared" si="4"/>
        <v>1800</v>
      </c>
      <c r="F70">
        <v>45</v>
      </c>
      <c r="G70">
        <f t="shared" si="5"/>
        <v>1755</v>
      </c>
      <c r="H70" s="5">
        <f t="shared" ref="H70:H133" si="6">$F70/G70</f>
        <v>2.564102564102564E-2</v>
      </c>
      <c r="I70" s="95">
        <v>39</v>
      </c>
      <c r="J70" s="8">
        <f t="shared" ref="J70:J133" si="7">$G70/I70</f>
        <v>45</v>
      </c>
    </row>
    <row r="71" spans="1:10">
      <c r="A71" s="2">
        <v>45912</v>
      </c>
      <c r="B71" s="4">
        <v>1</v>
      </c>
      <c r="C71">
        <v>615</v>
      </c>
      <c r="D71">
        <v>615</v>
      </c>
      <c r="E71">
        <f t="shared" si="4"/>
        <v>1230</v>
      </c>
      <c r="F71">
        <v>75</v>
      </c>
      <c r="G71">
        <f t="shared" si="5"/>
        <v>1155</v>
      </c>
      <c r="H71" s="5">
        <f t="shared" si="6"/>
        <v>6.4935064935064929E-2</v>
      </c>
      <c r="I71" s="95">
        <v>30</v>
      </c>
      <c r="J71" s="8">
        <f t="shared" si="7"/>
        <v>38.5</v>
      </c>
    </row>
    <row r="72" spans="1:10">
      <c r="B72" s="15">
        <v>2</v>
      </c>
      <c r="C72">
        <v>480</v>
      </c>
      <c r="D72">
        <v>480</v>
      </c>
      <c r="E72">
        <f t="shared" si="4"/>
        <v>960</v>
      </c>
      <c r="F72">
        <v>0</v>
      </c>
      <c r="G72">
        <f t="shared" si="5"/>
        <v>960</v>
      </c>
      <c r="H72" s="5">
        <f t="shared" si="6"/>
        <v>0</v>
      </c>
      <c r="I72" s="95">
        <v>20</v>
      </c>
      <c r="J72" s="8">
        <f t="shared" si="7"/>
        <v>48</v>
      </c>
    </row>
    <row r="73" spans="1:10">
      <c r="B73" s="4">
        <v>3</v>
      </c>
      <c r="C73">
        <v>590</v>
      </c>
      <c r="D73">
        <v>590</v>
      </c>
      <c r="E73">
        <f t="shared" si="4"/>
        <v>1180</v>
      </c>
      <c r="F73">
        <v>30</v>
      </c>
      <c r="G73">
        <f t="shared" si="5"/>
        <v>1150</v>
      </c>
      <c r="H73" s="5">
        <f t="shared" si="6"/>
        <v>2.6086956521739129E-2</v>
      </c>
      <c r="I73" s="95">
        <v>24</v>
      </c>
      <c r="J73" s="8">
        <f t="shared" si="7"/>
        <v>47.916666666666664</v>
      </c>
    </row>
    <row r="74" spans="1:10">
      <c r="B74" s="15">
        <v>4</v>
      </c>
      <c r="C74">
        <v>520</v>
      </c>
      <c r="D74">
        <v>520</v>
      </c>
      <c r="E74">
        <f t="shared" si="4"/>
        <v>1040</v>
      </c>
      <c r="F74">
        <v>55</v>
      </c>
      <c r="G74">
        <f t="shared" si="5"/>
        <v>985</v>
      </c>
      <c r="H74" s="5">
        <f t="shared" si="6"/>
        <v>5.5837563451776651E-2</v>
      </c>
      <c r="I74" s="95">
        <v>21</v>
      </c>
      <c r="J74" s="8">
        <f t="shared" si="7"/>
        <v>46.904761904761905</v>
      </c>
    </row>
    <row r="75" spans="1:10">
      <c r="B75" s="15">
        <v>5</v>
      </c>
      <c r="C75">
        <v>450</v>
      </c>
      <c r="D75">
        <v>450</v>
      </c>
      <c r="E75">
        <f t="shared" ref="E75:E138" si="8">$C75+D75</f>
        <v>900</v>
      </c>
      <c r="F75">
        <v>0</v>
      </c>
      <c r="G75">
        <f t="shared" si="5"/>
        <v>900</v>
      </c>
      <c r="H75" s="5">
        <f t="shared" si="6"/>
        <v>0</v>
      </c>
      <c r="I75" s="95">
        <v>20</v>
      </c>
      <c r="J75" s="8">
        <f t="shared" si="7"/>
        <v>45</v>
      </c>
    </row>
    <row r="76" spans="1:10">
      <c r="B76" s="4">
        <v>6</v>
      </c>
      <c r="C76">
        <v>900</v>
      </c>
      <c r="D76">
        <v>900</v>
      </c>
      <c r="E76">
        <f t="shared" si="8"/>
        <v>1800</v>
      </c>
      <c r="F76">
        <v>40</v>
      </c>
      <c r="G76">
        <f t="shared" si="5"/>
        <v>1760</v>
      </c>
      <c r="H76" s="5">
        <f t="shared" si="6"/>
        <v>2.2727272727272728E-2</v>
      </c>
      <c r="I76" s="95">
        <v>40</v>
      </c>
      <c r="J76" s="8">
        <f t="shared" si="7"/>
        <v>44</v>
      </c>
    </row>
    <row r="77" spans="1:10">
      <c r="A77" s="2">
        <v>45913</v>
      </c>
      <c r="B77" s="4">
        <v>1</v>
      </c>
      <c r="C77">
        <v>615</v>
      </c>
      <c r="D77">
        <v>615</v>
      </c>
      <c r="E77">
        <f t="shared" si="8"/>
        <v>1230</v>
      </c>
      <c r="F77">
        <v>40</v>
      </c>
      <c r="G77">
        <f t="shared" si="5"/>
        <v>1190</v>
      </c>
      <c r="H77" s="5">
        <f t="shared" si="6"/>
        <v>3.3613445378151259E-2</v>
      </c>
      <c r="I77" s="95">
        <v>30</v>
      </c>
      <c r="J77" s="8">
        <f t="shared" si="7"/>
        <v>39.666666666666664</v>
      </c>
    </row>
    <row r="78" spans="1:10">
      <c r="B78" s="15">
        <v>2</v>
      </c>
      <c r="C78">
        <v>480</v>
      </c>
      <c r="D78">
        <v>480</v>
      </c>
      <c r="E78">
        <f t="shared" si="8"/>
        <v>960</v>
      </c>
      <c r="F78">
        <v>0</v>
      </c>
      <c r="G78">
        <f t="shared" si="5"/>
        <v>960</v>
      </c>
      <c r="H78" s="5">
        <f t="shared" si="6"/>
        <v>0</v>
      </c>
      <c r="I78" s="95">
        <v>20</v>
      </c>
      <c r="J78" s="8">
        <f t="shared" si="7"/>
        <v>48</v>
      </c>
    </row>
    <row r="79" spans="1:10">
      <c r="B79" s="4">
        <v>3</v>
      </c>
      <c r="C79">
        <v>590</v>
      </c>
      <c r="D79">
        <v>590</v>
      </c>
      <c r="E79">
        <f t="shared" si="8"/>
        <v>1180</v>
      </c>
      <c r="F79">
        <v>25</v>
      </c>
      <c r="G79">
        <f t="shared" ref="G79:G142" si="9">$E79-F79</f>
        <v>1155</v>
      </c>
      <c r="H79" s="5">
        <f t="shared" si="6"/>
        <v>2.1645021645021644E-2</v>
      </c>
      <c r="I79" s="95">
        <v>24</v>
      </c>
      <c r="J79" s="8">
        <f t="shared" si="7"/>
        <v>48.125</v>
      </c>
    </row>
    <row r="80" spans="1:10">
      <c r="B80" s="15">
        <v>4</v>
      </c>
      <c r="C80">
        <v>520</v>
      </c>
      <c r="D80">
        <v>520</v>
      </c>
      <c r="E80">
        <f t="shared" si="8"/>
        <v>1040</v>
      </c>
      <c r="F80">
        <v>65</v>
      </c>
      <c r="G80">
        <f t="shared" si="9"/>
        <v>975</v>
      </c>
      <c r="H80" s="5">
        <f t="shared" si="6"/>
        <v>6.6666666666666666E-2</v>
      </c>
      <c r="I80" s="95">
        <v>21</v>
      </c>
      <c r="J80" s="8">
        <f t="shared" si="7"/>
        <v>46.428571428571431</v>
      </c>
    </row>
    <row r="81" spans="1:10">
      <c r="B81" s="15">
        <v>5</v>
      </c>
      <c r="C81">
        <v>450</v>
      </c>
      <c r="D81">
        <v>450</v>
      </c>
      <c r="E81">
        <f t="shared" si="8"/>
        <v>900</v>
      </c>
      <c r="F81">
        <v>0</v>
      </c>
      <c r="G81">
        <f t="shared" si="9"/>
        <v>900</v>
      </c>
      <c r="H81" s="5">
        <f t="shared" si="6"/>
        <v>0</v>
      </c>
      <c r="I81" s="95">
        <v>20</v>
      </c>
      <c r="J81" s="8">
        <f t="shared" si="7"/>
        <v>45</v>
      </c>
    </row>
    <row r="82" spans="1:10">
      <c r="B82" s="4">
        <v>6</v>
      </c>
      <c r="C82">
        <v>900</v>
      </c>
      <c r="D82">
        <v>900</v>
      </c>
      <c r="E82">
        <f t="shared" si="8"/>
        <v>1800</v>
      </c>
      <c r="F82">
        <v>35</v>
      </c>
      <c r="G82">
        <f t="shared" si="9"/>
        <v>1765</v>
      </c>
      <c r="H82" s="5">
        <f t="shared" si="6"/>
        <v>1.9830028328611898E-2</v>
      </c>
      <c r="I82" s="95">
        <v>40</v>
      </c>
      <c r="J82" s="8">
        <f t="shared" si="7"/>
        <v>44.125</v>
      </c>
    </row>
    <row r="83" spans="1:10">
      <c r="A83" s="2">
        <v>45914</v>
      </c>
      <c r="B83" s="4">
        <v>1</v>
      </c>
      <c r="C83">
        <v>650</v>
      </c>
      <c r="D83">
        <v>650</v>
      </c>
      <c r="E83">
        <f t="shared" si="8"/>
        <v>1300</v>
      </c>
      <c r="F83">
        <v>40</v>
      </c>
      <c r="G83">
        <f t="shared" si="9"/>
        <v>1260</v>
      </c>
      <c r="H83" s="5">
        <f t="shared" si="6"/>
        <v>3.1746031746031744E-2</v>
      </c>
      <c r="I83" s="95">
        <v>30</v>
      </c>
      <c r="J83" s="8">
        <f t="shared" si="7"/>
        <v>42</v>
      </c>
    </row>
    <row r="84" spans="1:10">
      <c r="B84" s="15">
        <v>2</v>
      </c>
      <c r="C84">
        <v>490</v>
      </c>
      <c r="D84">
        <v>490</v>
      </c>
      <c r="E84">
        <f t="shared" si="8"/>
        <v>980</v>
      </c>
      <c r="F84">
        <v>0</v>
      </c>
      <c r="G84">
        <f t="shared" si="9"/>
        <v>980</v>
      </c>
      <c r="H84" s="5">
        <f t="shared" si="6"/>
        <v>0</v>
      </c>
      <c r="I84" s="95">
        <v>20</v>
      </c>
      <c r="J84" s="8">
        <f t="shared" si="7"/>
        <v>49</v>
      </c>
    </row>
    <row r="85" spans="1:10">
      <c r="B85" s="4">
        <v>3</v>
      </c>
      <c r="C85">
        <v>600</v>
      </c>
      <c r="D85">
        <v>600</v>
      </c>
      <c r="E85">
        <f t="shared" si="8"/>
        <v>1200</v>
      </c>
      <c r="F85">
        <v>25</v>
      </c>
      <c r="G85">
        <f t="shared" si="9"/>
        <v>1175</v>
      </c>
      <c r="H85" s="5">
        <f t="shared" si="6"/>
        <v>2.1276595744680851E-2</v>
      </c>
      <c r="I85" s="95">
        <v>24</v>
      </c>
      <c r="J85" s="8">
        <f t="shared" si="7"/>
        <v>48.958333333333336</v>
      </c>
    </row>
    <row r="86" spans="1:10">
      <c r="B86" s="15">
        <v>4</v>
      </c>
      <c r="C86">
        <v>520</v>
      </c>
      <c r="D86">
        <v>550</v>
      </c>
      <c r="E86">
        <f t="shared" si="8"/>
        <v>1070</v>
      </c>
      <c r="F86">
        <v>65</v>
      </c>
      <c r="G86">
        <f t="shared" si="9"/>
        <v>1005</v>
      </c>
      <c r="H86" s="5">
        <f t="shared" si="6"/>
        <v>6.4676616915422883E-2</v>
      </c>
      <c r="I86" s="95">
        <v>21</v>
      </c>
      <c r="J86" s="8">
        <f t="shared" si="7"/>
        <v>47.857142857142854</v>
      </c>
    </row>
    <row r="87" spans="1:10">
      <c r="B87" s="15">
        <v>5</v>
      </c>
      <c r="C87">
        <v>450</v>
      </c>
      <c r="D87">
        <v>450</v>
      </c>
      <c r="E87">
        <f t="shared" si="8"/>
        <v>900</v>
      </c>
      <c r="F87">
        <v>0</v>
      </c>
      <c r="G87">
        <f t="shared" si="9"/>
        <v>900</v>
      </c>
      <c r="H87" s="5">
        <f t="shared" si="6"/>
        <v>0</v>
      </c>
      <c r="I87" s="95">
        <v>20</v>
      </c>
      <c r="J87" s="8">
        <f t="shared" si="7"/>
        <v>45</v>
      </c>
    </row>
    <row r="88" spans="1:10">
      <c r="B88" s="4">
        <v>6</v>
      </c>
      <c r="C88">
        <v>900</v>
      </c>
      <c r="D88">
        <v>900</v>
      </c>
      <c r="E88">
        <f t="shared" si="8"/>
        <v>1800</v>
      </c>
      <c r="F88">
        <v>35</v>
      </c>
      <c r="G88">
        <f t="shared" si="9"/>
        <v>1765</v>
      </c>
      <c r="H88" s="5">
        <f t="shared" si="6"/>
        <v>1.9830028328611898E-2</v>
      </c>
      <c r="I88" s="95">
        <v>40</v>
      </c>
      <c r="J88" s="8">
        <f t="shared" si="7"/>
        <v>44.125</v>
      </c>
    </row>
    <row r="89" spans="1:10">
      <c r="A89" s="2">
        <v>45915</v>
      </c>
      <c r="B89" s="4">
        <v>1</v>
      </c>
      <c r="C89">
        <v>750</v>
      </c>
      <c r="D89">
        <v>750</v>
      </c>
      <c r="E89">
        <f t="shared" si="8"/>
        <v>1500</v>
      </c>
      <c r="F89">
        <v>40</v>
      </c>
      <c r="G89">
        <f t="shared" si="9"/>
        <v>1460</v>
      </c>
      <c r="H89" s="5">
        <f t="shared" si="6"/>
        <v>2.7397260273972601E-2</v>
      </c>
      <c r="I89" s="95">
        <v>30</v>
      </c>
      <c r="J89" s="8">
        <f t="shared" si="7"/>
        <v>48.666666666666664</v>
      </c>
    </row>
    <row r="90" spans="1:10">
      <c r="B90" s="15">
        <v>2</v>
      </c>
      <c r="C90">
        <v>245</v>
      </c>
      <c r="D90">
        <v>245</v>
      </c>
      <c r="E90">
        <f t="shared" si="8"/>
        <v>490</v>
      </c>
      <c r="F90">
        <v>0</v>
      </c>
      <c r="G90">
        <f t="shared" si="9"/>
        <v>490</v>
      </c>
      <c r="H90" s="5">
        <f t="shared" si="6"/>
        <v>0</v>
      </c>
      <c r="I90" s="95">
        <v>20</v>
      </c>
      <c r="J90" s="8">
        <f t="shared" si="7"/>
        <v>24.5</v>
      </c>
    </row>
    <row r="91" spans="1:10">
      <c r="B91" s="4">
        <v>3</v>
      </c>
      <c r="C91">
        <v>600</v>
      </c>
      <c r="D91">
        <v>600</v>
      </c>
      <c r="E91">
        <f t="shared" si="8"/>
        <v>1200</v>
      </c>
      <c r="F91">
        <v>35</v>
      </c>
      <c r="G91">
        <f t="shared" si="9"/>
        <v>1165</v>
      </c>
      <c r="H91" s="5">
        <f t="shared" si="6"/>
        <v>3.0042918454935622E-2</v>
      </c>
      <c r="I91" s="95">
        <v>24</v>
      </c>
      <c r="J91" s="8">
        <f t="shared" si="7"/>
        <v>48.541666666666664</v>
      </c>
    </row>
    <row r="92" spans="1:10">
      <c r="B92" s="15">
        <v>4</v>
      </c>
      <c r="C92">
        <v>530</v>
      </c>
      <c r="D92">
        <v>530</v>
      </c>
      <c r="E92">
        <f t="shared" si="8"/>
        <v>1060</v>
      </c>
      <c r="F92">
        <v>60</v>
      </c>
      <c r="G92">
        <f t="shared" si="9"/>
        <v>1000</v>
      </c>
      <c r="H92" s="5">
        <f t="shared" si="6"/>
        <v>0.06</v>
      </c>
      <c r="I92" s="95">
        <v>21</v>
      </c>
      <c r="J92" s="8">
        <f t="shared" si="7"/>
        <v>47.61904761904762</v>
      </c>
    </row>
    <row r="93" spans="1:10">
      <c r="B93" s="15">
        <v>5</v>
      </c>
      <c r="C93">
        <v>245</v>
      </c>
      <c r="D93">
        <v>245</v>
      </c>
      <c r="E93">
        <f t="shared" si="8"/>
        <v>490</v>
      </c>
      <c r="F93">
        <v>0</v>
      </c>
      <c r="G93">
        <f t="shared" si="9"/>
        <v>490</v>
      </c>
      <c r="H93" s="5">
        <f t="shared" si="6"/>
        <v>0</v>
      </c>
      <c r="I93" s="95">
        <v>20</v>
      </c>
      <c r="J93" s="8">
        <f t="shared" si="7"/>
        <v>24.5</v>
      </c>
    </row>
    <row r="94" spans="1:10">
      <c r="B94" s="4">
        <v>6</v>
      </c>
      <c r="C94">
        <v>1000</v>
      </c>
      <c r="D94">
        <v>1000</v>
      </c>
      <c r="E94">
        <f t="shared" si="8"/>
        <v>2000</v>
      </c>
      <c r="F94">
        <v>180</v>
      </c>
      <c r="G94">
        <f t="shared" si="9"/>
        <v>1820</v>
      </c>
      <c r="H94" s="5">
        <f t="shared" si="6"/>
        <v>9.8901098901098897E-2</v>
      </c>
      <c r="I94" s="95">
        <v>40</v>
      </c>
      <c r="J94" s="8">
        <f t="shared" si="7"/>
        <v>45.5</v>
      </c>
    </row>
    <row r="95" spans="1:10">
      <c r="A95" s="2">
        <v>45916</v>
      </c>
      <c r="B95" s="4">
        <v>1</v>
      </c>
      <c r="C95">
        <v>650</v>
      </c>
      <c r="D95">
        <v>650</v>
      </c>
      <c r="E95">
        <f t="shared" si="8"/>
        <v>1300</v>
      </c>
      <c r="F95">
        <v>100</v>
      </c>
      <c r="G95">
        <f t="shared" si="9"/>
        <v>1200</v>
      </c>
      <c r="H95" s="5">
        <f t="shared" si="6"/>
        <v>8.3333333333333329E-2</v>
      </c>
      <c r="I95" s="95">
        <v>30</v>
      </c>
      <c r="J95" s="8">
        <f t="shared" si="7"/>
        <v>40</v>
      </c>
    </row>
    <row r="96" spans="1:10">
      <c r="B96" s="15">
        <v>2</v>
      </c>
      <c r="C96">
        <v>244</v>
      </c>
      <c r="D96">
        <v>244</v>
      </c>
      <c r="E96">
        <f t="shared" si="8"/>
        <v>488</v>
      </c>
      <c r="F96">
        <v>50</v>
      </c>
      <c r="G96">
        <f t="shared" si="9"/>
        <v>438</v>
      </c>
      <c r="H96" s="5">
        <f t="shared" si="6"/>
        <v>0.11415525114155251</v>
      </c>
      <c r="I96" s="95">
        <v>20</v>
      </c>
      <c r="J96" s="8">
        <f t="shared" si="7"/>
        <v>21.9</v>
      </c>
    </row>
    <row r="97" spans="1:10">
      <c r="B97" s="4">
        <v>3</v>
      </c>
      <c r="C97">
        <v>600</v>
      </c>
      <c r="D97">
        <v>600</v>
      </c>
      <c r="E97">
        <f t="shared" si="8"/>
        <v>1200</v>
      </c>
      <c r="F97">
        <v>95</v>
      </c>
      <c r="G97">
        <f t="shared" si="9"/>
        <v>1105</v>
      </c>
      <c r="H97" s="5">
        <f t="shared" si="6"/>
        <v>8.5972850678733032E-2</v>
      </c>
      <c r="I97" s="95">
        <v>24</v>
      </c>
      <c r="J97" s="8">
        <f t="shared" si="7"/>
        <v>46.041666666666664</v>
      </c>
    </row>
    <row r="98" spans="1:10">
      <c r="B98" s="15">
        <v>4</v>
      </c>
      <c r="C98">
        <v>600</v>
      </c>
      <c r="D98">
        <v>600</v>
      </c>
      <c r="E98">
        <f t="shared" si="8"/>
        <v>1200</v>
      </c>
      <c r="F98">
        <v>120</v>
      </c>
      <c r="G98">
        <f t="shared" si="9"/>
        <v>1080</v>
      </c>
      <c r="H98" s="5">
        <f t="shared" si="6"/>
        <v>0.1111111111111111</v>
      </c>
      <c r="I98" s="95">
        <v>21</v>
      </c>
      <c r="J98" s="8">
        <f t="shared" si="7"/>
        <v>51.428571428571431</v>
      </c>
    </row>
    <row r="99" spans="1:10">
      <c r="B99" s="15">
        <v>5</v>
      </c>
      <c r="C99">
        <v>244</v>
      </c>
      <c r="D99">
        <v>244</v>
      </c>
      <c r="E99">
        <f t="shared" si="8"/>
        <v>488</v>
      </c>
      <c r="F99">
        <v>100</v>
      </c>
      <c r="G99">
        <f t="shared" si="9"/>
        <v>388</v>
      </c>
      <c r="H99" s="5">
        <f t="shared" si="6"/>
        <v>0.25773195876288657</v>
      </c>
      <c r="I99" s="95">
        <v>20</v>
      </c>
      <c r="J99" s="8">
        <f t="shared" si="7"/>
        <v>19.399999999999999</v>
      </c>
    </row>
    <row r="100" spans="1:10">
      <c r="B100" s="4">
        <v>6</v>
      </c>
      <c r="C100">
        <v>900</v>
      </c>
      <c r="D100">
        <v>900</v>
      </c>
      <c r="E100">
        <f t="shared" si="8"/>
        <v>1800</v>
      </c>
      <c r="F100">
        <v>50</v>
      </c>
      <c r="G100">
        <f t="shared" si="9"/>
        <v>1750</v>
      </c>
      <c r="H100" s="5">
        <f t="shared" si="6"/>
        <v>2.8571428571428571E-2</v>
      </c>
      <c r="I100" s="95">
        <v>40</v>
      </c>
      <c r="J100" s="8">
        <f t="shared" si="7"/>
        <v>43.75</v>
      </c>
    </row>
    <row r="101" spans="1:10">
      <c r="A101" s="2">
        <v>45917</v>
      </c>
      <c r="B101" s="4">
        <v>1</v>
      </c>
      <c r="C101">
        <v>750</v>
      </c>
      <c r="D101">
        <v>750</v>
      </c>
      <c r="E101">
        <f t="shared" si="8"/>
        <v>1500</v>
      </c>
      <c r="F101">
        <v>95</v>
      </c>
      <c r="G101">
        <f t="shared" si="9"/>
        <v>1405</v>
      </c>
      <c r="H101" s="5">
        <f t="shared" si="6"/>
        <v>6.7615658362989328E-2</v>
      </c>
      <c r="I101" s="95">
        <v>30</v>
      </c>
      <c r="J101" s="8">
        <f t="shared" si="7"/>
        <v>46.833333333333336</v>
      </c>
    </row>
    <row r="102" spans="1:10">
      <c r="B102" s="15">
        <v>2</v>
      </c>
      <c r="C102">
        <v>245</v>
      </c>
      <c r="D102">
        <v>245</v>
      </c>
      <c r="E102">
        <f t="shared" si="8"/>
        <v>490</v>
      </c>
      <c r="F102">
        <v>0</v>
      </c>
      <c r="G102">
        <f t="shared" si="9"/>
        <v>490</v>
      </c>
      <c r="H102" s="5">
        <f t="shared" si="6"/>
        <v>0</v>
      </c>
      <c r="I102" s="95">
        <v>20</v>
      </c>
      <c r="J102" s="8">
        <f t="shared" si="7"/>
        <v>24.5</v>
      </c>
    </row>
    <row r="103" spans="1:10">
      <c r="B103" s="4">
        <v>3</v>
      </c>
      <c r="C103">
        <v>600</v>
      </c>
      <c r="D103">
        <v>600</v>
      </c>
      <c r="E103">
        <f t="shared" si="8"/>
        <v>1200</v>
      </c>
      <c r="F103">
        <v>70</v>
      </c>
      <c r="G103">
        <f t="shared" si="9"/>
        <v>1130</v>
      </c>
      <c r="H103" s="5">
        <f t="shared" si="6"/>
        <v>6.1946902654867256E-2</v>
      </c>
      <c r="I103" s="95">
        <v>24</v>
      </c>
      <c r="J103" s="8">
        <f t="shared" si="7"/>
        <v>47.083333333333336</v>
      </c>
    </row>
    <row r="104" spans="1:10">
      <c r="B104" s="15">
        <v>4</v>
      </c>
      <c r="C104">
        <v>530</v>
      </c>
      <c r="D104">
        <v>530</v>
      </c>
      <c r="E104">
        <f t="shared" si="8"/>
        <v>1060</v>
      </c>
      <c r="F104">
        <v>35</v>
      </c>
      <c r="G104">
        <f t="shared" si="9"/>
        <v>1025</v>
      </c>
      <c r="H104" s="5">
        <f t="shared" si="6"/>
        <v>3.4146341463414637E-2</v>
      </c>
      <c r="I104" s="95">
        <v>21</v>
      </c>
      <c r="J104" s="8">
        <f t="shared" si="7"/>
        <v>48.80952380952381</v>
      </c>
    </row>
    <row r="105" spans="1:10">
      <c r="B105" s="15">
        <v>5</v>
      </c>
      <c r="C105">
        <v>245</v>
      </c>
      <c r="D105">
        <v>245</v>
      </c>
      <c r="E105">
        <f t="shared" si="8"/>
        <v>490</v>
      </c>
      <c r="F105">
        <v>0</v>
      </c>
      <c r="G105">
        <f t="shared" si="9"/>
        <v>490</v>
      </c>
      <c r="H105" s="5">
        <f t="shared" si="6"/>
        <v>0</v>
      </c>
      <c r="I105" s="95">
        <v>20</v>
      </c>
      <c r="J105" s="8">
        <f t="shared" si="7"/>
        <v>24.5</v>
      </c>
    </row>
    <row r="106" spans="1:10">
      <c r="A106" s="2">
        <v>45918</v>
      </c>
      <c r="B106" s="4">
        <v>6</v>
      </c>
      <c r="C106">
        <v>1000</v>
      </c>
      <c r="D106">
        <v>1000</v>
      </c>
      <c r="E106">
        <f t="shared" si="8"/>
        <v>2000</v>
      </c>
      <c r="F106">
        <v>30</v>
      </c>
      <c r="G106">
        <f t="shared" si="9"/>
        <v>1970</v>
      </c>
      <c r="H106" s="5">
        <f t="shared" si="6"/>
        <v>1.5228426395939087E-2</v>
      </c>
      <c r="I106" s="95">
        <v>40</v>
      </c>
      <c r="J106" s="8">
        <f t="shared" si="7"/>
        <v>49.25</v>
      </c>
    </row>
    <row r="107" spans="1:10">
      <c r="B107" s="4">
        <v>1</v>
      </c>
      <c r="C107">
        <v>750</v>
      </c>
      <c r="D107">
        <v>750</v>
      </c>
      <c r="E107">
        <f t="shared" si="8"/>
        <v>1500</v>
      </c>
      <c r="F107">
        <v>120</v>
      </c>
      <c r="G107">
        <f t="shared" si="9"/>
        <v>1380</v>
      </c>
      <c r="H107" s="5">
        <f t="shared" si="6"/>
        <v>8.6956521739130432E-2</v>
      </c>
      <c r="I107" s="95">
        <v>30</v>
      </c>
      <c r="J107" s="8">
        <f t="shared" si="7"/>
        <v>46</v>
      </c>
    </row>
    <row r="108" spans="1:10">
      <c r="B108" s="15">
        <v>2</v>
      </c>
      <c r="C108">
        <v>245</v>
      </c>
      <c r="D108">
        <v>245</v>
      </c>
      <c r="E108">
        <f t="shared" si="8"/>
        <v>490</v>
      </c>
      <c r="F108">
        <v>0</v>
      </c>
      <c r="G108">
        <f t="shared" si="9"/>
        <v>490</v>
      </c>
      <c r="H108" s="5">
        <f t="shared" si="6"/>
        <v>0</v>
      </c>
      <c r="I108" s="95">
        <v>20</v>
      </c>
      <c r="J108" s="8">
        <f t="shared" si="7"/>
        <v>24.5</v>
      </c>
    </row>
    <row r="109" spans="1:10">
      <c r="B109" s="4">
        <v>3</v>
      </c>
      <c r="C109">
        <v>600</v>
      </c>
      <c r="D109">
        <v>600</v>
      </c>
      <c r="E109">
        <f t="shared" si="8"/>
        <v>1200</v>
      </c>
      <c r="F109">
        <v>85</v>
      </c>
      <c r="G109">
        <f t="shared" si="9"/>
        <v>1115</v>
      </c>
      <c r="H109" s="5">
        <f t="shared" si="6"/>
        <v>7.623318385650224E-2</v>
      </c>
      <c r="I109" s="95">
        <v>24</v>
      </c>
      <c r="J109" s="8">
        <f t="shared" si="7"/>
        <v>46.458333333333336</v>
      </c>
    </row>
    <row r="110" spans="1:10">
      <c r="B110" s="15">
        <v>4</v>
      </c>
      <c r="C110">
        <v>530</v>
      </c>
      <c r="D110">
        <v>530</v>
      </c>
      <c r="E110">
        <f t="shared" si="8"/>
        <v>1060</v>
      </c>
      <c r="F110">
        <v>105</v>
      </c>
      <c r="G110">
        <f t="shared" si="9"/>
        <v>955</v>
      </c>
      <c r="H110" s="5">
        <f t="shared" si="6"/>
        <v>0.1099476439790576</v>
      </c>
      <c r="I110" s="95">
        <v>21</v>
      </c>
      <c r="J110" s="8">
        <f t="shared" si="7"/>
        <v>45.476190476190474</v>
      </c>
    </row>
    <row r="111" spans="1:10">
      <c r="B111" s="15">
        <v>5</v>
      </c>
      <c r="C111">
        <v>245</v>
      </c>
      <c r="D111">
        <v>245</v>
      </c>
      <c r="E111">
        <f t="shared" si="8"/>
        <v>490</v>
      </c>
      <c r="F111">
        <v>0</v>
      </c>
      <c r="G111">
        <f t="shared" si="9"/>
        <v>490</v>
      </c>
      <c r="H111" s="5">
        <f t="shared" si="6"/>
        <v>0</v>
      </c>
      <c r="I111" s="95">
        <v>20</v>
      </c>
      <c r="J111" s="8">
        <f t="shared" si="7"/>
        <v>24.5</v>
      </c>
    </row>
    <row r="112" spans="1:10">
      <c r="B112" s="4">
        <v>6</v>
      </c>
      <c r="C112">
        <v>1000</v>
      </c>
      <c r="D112">
        <v>1000</v>
      </c>
      <c r="E112">
        <f t="shared" si="8"/>
        <v>2000</v>
      </c>
      <c r="F112">
        <v>0</v>
      </c>
      <c r="G112">
        <f t="shared" si="9"/>
        <v>2000</v>
      </c>
      <c r="H112" s="5">
        <f t="shared" si="6"/>
        <v>0</v>
      </c>
      <c r="I112" s="95">
        <v>40</v>
      </c>
      <c r="J112" s="8">
        <f t="shared" si="7"/>
        <v>50</v>
      </c>
    </row>
    <row r="113" spans="1:10">
      <c r="A113" s="2">
        <v>45919</v>
      </c>
      <c r="B113" s="4">
        <v>1</v>
      </c>
      <c r="C113">
        <v>750</v>
      </c>
      <c r="D113">
        <v>750</v>
      </c>
      <c r="E113">
        <f t="shared" si="8"/>
        <v>1500</v>
      </c>
      <c r="F113">
        <v>80</v>
      </c>
      <c r="G113">
        <f t="shared" si="9"/>
        <v>1420</v>
      </c>
      <c r="H113" s="5">
        <f t="shared" si="6"/>
        <v>5.6338028169014086E-2</v>
      </c>
      <c r="I113" s="95">
        <v>30</v>
      </c>
      <c r="J113" s="8">
        <f t="shared" si="7"/>
        <v>47.333333333333336</v>
      </c>
    </row>
    <row r="114" spans="1:10">
      <c r="B114" s="15">
        <v>2</v>
      </c>
      <c r="C114">
        <v>245</v>
      </c>
      <c r="D114">
        <v>245</v>
      </c>
      <c r="E114">
        <f t="shared" si="8"/>
        <v>490</v>
      </c>
      <c r="F114">
        <v>0</v>
      </c>
      <c r="G114">
        <f t="shared" si="9"/>
        <v>490</v>
      </c>
      <c r="H114" s="5">
        <f t="shared" si="6"/>
        <v>0</v>
      </c>
      <c r="I114" s="95">
        <v>20</v>
      </c>
      <c r="J114" s="8">
        <f t="shared" si="7"/>
        <v>24.5</v>
      </c>
    </row>
    <row r="115" spans="1:10">
      <c r="B115" s="4">
        <v>3</v>
      </c>
      <c r="C115">
        <v>600</v>
      </c>
      <c r="D115">
        <v>600</v>
      </c>
      <c r="E115">
        <f t="shared" si="8"/>
        <v>1200</v>
      </c>
      <c r="F115">
        <v>20</v>
      </c>
      <c r="G115">
        <f t="shared" si="9"/>
        <v>1180</v>
      </c>
      <c r="H115" s="5">
        <f t="shared" si="6"/>
        <v>1.6949152542372881E-2</v>
      </c>
      <c r="I115" s="95">
        <v>24</v>
      </c>
      <c r="J115" s="8">
        <f t="shared" si="7"/>
        <v>49.166666666666664</v>
      </c>
    </row>
    <row r="116" spans="1:10">
      <c r="B116" s="15">
        <v>4</v>
      </c>
      <c r="C116">
        <v>530</v>
      </c>
      <c r="D116">
        <v>530</v>
      </c>
      <c r="E116">
        <f t="shared" si="8"/>
        <v>1060</v>
      </c>
      <c r="F116">
        <v>15</v>
      </c>
      <c r="G116">
        <f t="shared" si="9"/>
        <v>1045</v>
      </c>
      <c r="H116" s="5">
        <f t="shared" si="6"/>
        <v>1.4354066985645933E-2</v>
      </c>
      <c r="I116" s="95">
        <v>21</v>
      </c>
      <c r="J116" s="8">
        <f t="shared" si="7"/>
        <v>49.761904761904759</v>
      </c>
    </row>
    <row r="117" spans="1:10">
      <c r="B117" s="15">
        <v>5</v>
      </c>
      <c r="C117">
        <v>245</v>
      </c>
      <c r="D117">
        <v>245</v>
      </c>
      <c r="E117">
        <f t="shared" si="8"/>
        <v>490</v>
      </c>
      <c r="F117">
        <v>0</v>
      </c>
      <c r="G117">
        <f t="shared" si="9"/>
        <v>490</v>
      </c>
      <c r="H117" s="5">
        <f t="shared" si="6"/>
        <v>0</v>
      </c>
      <c r="I117" s="95">
        <v>20</v>
      </c>
      <c r="J117" s="8">
        <f t="shared" si="7"/>
        <v>24.5</v>
      </c>
    </row>
    <row r="118" spans="1:10">
      <c r="B118" s="4">
        <v>6</v>
      </c>
      <c r="C118">
        <v>1000</v>
      </c>
      <c r="D118">
        <v>1000</v>
      </c>
      <c r="E118">
        <f t="shared" si="8"/>
        <v>2000</v>
      </c>
      <c r="F118">
        <v>10</v>
      </c>
      <c r="G118">
        <f t="shared" si="9"/>
        <v>1990</v>
      </c>
      <c r="H118" s="5">
        <f t="shared" si="6"/>
        <v>5.0251256281407036E-3</v>
      </c>
      <c r="I118" s="95">
        <v>40</v>
      </c>
      <c r="J118" s="8">
        <f t="shared" si="7"/>
        <v>49.75</v>
      </c>
    </row>
    <row r="119" spans="1:10">
      <c r="A119" s="2">
        <v>45920</v>
      </c>
      <c r="B119" s="4">
        <v>1</v>
      </c>
      <c r="C119">
        <v>750</v>
      </c>
      <c r="D119">
        <v>750</v>
      </c>
      <c r="E119">
        <f t="shared" si="8"/>
        <v>1500</v>
      </c>
      <c r="F119">
        <v>75</v>
      </c>
      <c r="G119">
        <f t="shared" si="9"/>
        <v>1425</v>
      </c>
      <c r="H119" s="5">
        <f t="shared" si="6"/>
        <v>5.2631578947368418E-2</v>
      </c>
      <c r="I119" s="95">
        <v>30</v>
      </c>
      <c r="J119" s="8">
        <f t="shared" si="7"/>
        <v>47.5</v>
      </c>
    </row>
    <row r="120" spans="1:10">
      <c r="B120" s="15">
        <v>2</v>
      </c>
      <c r="C120">
        <v>245</v>
      </c>
      <c r="D120">
        <v>245</v>
      </c>
      <c r="E120">
        <f t="shared" si="8"/>
        <v>490</v>
      </c>
      <c r="F120">
        <v>0</v>
      </c>
      <c r="G120">
        <f t="shared" si="9"/>
        <v>490</v>
      </c>
      <c r="H120" s="5">
        <f t="shared" si="6"/>
        <v>0</v>
      </c>
      <c r="I120" s="95">
        <v>20</v>
      </c>
      <c r="J120" s="8">
        <f t="shared" si="7"/>
        <v>24.5</v>
      </c>
    </row>
    <row r="121" spans="1:10">
      <c r="B121" s="4">
        <v>3</v>
      </c>
      <c r="C121">
        <v>600</v>
      </c>
      <c r="D121">
        <v>600</v>
      </c>
      <c r="E121">
        <f t="shared" si="8"/>
        <v>1200</v>
      </c>
      <c r="F121">
        <v>40</v>
      </c>
      <c r="G121">
        <f t="shared" si="9"/>
        <v>1160</v>
      </c>
      <c r="H121" s="5">
        <f t="shared" si="6"/>
        <v>3.4482758620689655E-2</v>
      </c>
      <c r="I121" s="95">
        <v>24</v>
      </c>
      <c r="J121" s="8">
        <f t="shared" si="7"/>
        <v>48.333333333333336</v>
      </c>
    </row>
    <row r="122" spans="1:10">
      <c r="B122" s="15">
        <v>4</v>
      </c>
      <c r="C122">
        <v>530</v>
      </c>
      <c r="D122">
        <v>530</v>
      </c>
      <c r="E122">
        <f t="shared" si="8"/>
        <v>1060</v>
      </c>
      <c r="F122">
        <v>35</v>
      </c>
      <c r="G122">
        <f t="shared" si="9"/>
        <v>1025</v>
      </c>
      <c r="H122" s="5">
        <f t="shared" si="6"/>
        <v>3.4146341463414637E-2</v>
      </c>
      <c r="I122" s="95">
        <v>21</v>
      </c>
      <c r="J122" s="8">
        <f t="shared" si="7"/>
        <v>48.80952380952381</v>
      </c>
    </row>
    <row r="123" spans="1:10">
      <c r="B123" s="15">
        <v>5</v>
      </c>
      <c r="C123">
        <v>245</v>
      </c>
      <c r="D123">
        <v>245</v>
      </c>
      <c r="E123">
        <f t="shared" si="8"/>
        <v>490</v>
      </c>
      <c r="F123">
        <v>0</v>
      </c>
      <c r="G123">
        <f t="shared" si="9"/>
        <v>490</v>
      </c>
      <c r="H123" s="5">
        <f t="shared" si="6"/>
        <v>0</v>
      </c>
      <c r="I123" s="95">
        <v>20</v>
      </c>
      <c r="J123" s="8">
        <f t="shared" si="7"/>
        <v>24.5</v>
      </c>
    </row>
    <row r="124" spans="1:10">
      <c r="B124" s="4">
        <v>6</v>
      </c>
      <c r="C124">
        <v>1000</v>
      </c>
      <c r="D124">
        <v>1000</v>
      </c>
      <c r="E124">
        <f t="shared" si="8"/>
        <v>2000</v>
      </c>
      <c r="F124">
        <v>55</v>
      </c>
      <c r="G124">
        <f t="shared" si="9"/>
        <v>1945</v>
      </c>
      <c r="H124" s="5">
        <f t="shared" si="6"/>
        <v>2.8277634961439587E-2</v>
      </c>
      <c r="I124" s="95">
        <v>40</v>
      </c>
      <c r="J124" s="8">
        <f t="shared" si="7"/>
        <v>48.625</v>
      </c>
    </row>
    <row r="125" spans="1:10">
      <c r="A125" s="2">
        <v>45921</v>
      </c>
      <c r="B125" s="4">
        <v>1</v>
      </c>
      <c r="C125">
        <v>750</v>
      </c>
      <c r="D125">
        <v>750</v>
      </c>
      <c r="E125">
        <f t="shared" si="8"/>
        <v>1500</v>
      </c>
      <c r="F125">
        <v>80</v>
      </c>
      <c r="G125">
        <f t="shared" si="9"/>
        <v>1420</v>
      </c>
      <c r="H125" s="5">
        <f t="shared" si="6"/>
        <v>5.6338028169014086E-2</v>
      </c>
      <c r="I125" s="95">
        <v>30</v>
      </c>
      <c r="J125" s="8">
        <f t="shared" si="7"/>
        <v>47.333333333333336</v>
      </c>
    </row>
    <row r="126" spans="1:10">
      <c r="B126" s="15">
        <v>2</v>
      </c>
      <c r="C126">
        <v>245</v>
      </c>
      <c r="D126">
        <v>245</v>
      </c>
      <c r="E126">
        <f t="shared" si="8"/>
        <v>490</v>
      </c>
      <c r="F126">
        <v>0</v>
      </c>
      <c r="G126">
        <f t="shared" si="9"/>
        <v>490</v>
      </c>
      <c r="H126" s="5">
        <f t="shared" si="6"/>
        <v>0</v>
      </c>
      <c r="I126" s="95">
        <v>20</v>
      </c>
      <c r="J126" s="8">
        <f t="shared" si="7"/>
        <v>24.5</v>
      </c>
    </row>
    <row r="127" spans="1:10">
      <c r="B127" s="4">
        <v>3</v>
      </c>
      <c r="C127">
        <v>600</v>
      </c>
      <c r="D127">
        <v>600</v>
      </c>
      <c r="E127">
        <f t="shared" si="8"/>
        <v>1200</v>
      </c>
      <c r="F127">
        <v>135</v>
      </c>
      <c r="G127">
        <f t="shared" si="9"/>
        <v>1065</v>
      </c>
      <c r="H127" s="5">
        <f t="shared" si="6"/>
        <v>0.12676056338028169</v>
      </c>
      <c r="I127" s="95">
        <v>24</v>
      </c>
      <c r="J127" s="8">
        <f t="shared" si="7"/>
        <v>44.375</v>
      </c>
    </row>
    <row r="128" spans="1:10">
      <c r="B128" s="15">
        <v>4</v>
      </c>
      <c r="C128">
        <v>530</v>
      </c>
      <c r="D128">
        <v>530</v>
      </c>
      <c r="E128">
        <f t="shared" si="8"/>
        <v>1060</v>
      </c>
      <c r="F128">
        <v>65</v>
      </c>
      <c r="G128">
        <f t="shared" si="9"/>
        <v>995</v>
      </c>
      <c r="H128" s="5">
        <f t="shared" si="6"/>
        <v>6.5326633165829151E-2</v>
      </c>
      <c r="I128" s="95">
        <v>21</v>
      </c>
      <c r="J128" s="8">
        <f t="shared" si="7"/>
        <v>47.38095238095238</v>
      </c>
    </row>
    <row r="129" spans="1:10">
      <c r="B129" s="15">
        <v>5</v>
      </c>
      <c r="C129">
        <v>245</v>
      </c>
      <c r="D129">
        <v>245</v>
      </c>
      <c r="E129">
        <f t="shared" si="8"/>
        <v>490</v>
      </c>
      <c r="F129">
        <v>0</v>
      </c>
      <c r="G129">
        <f t="shared" si="9"/>
        <v>490</v>
      </c>
      <c r="H129" s="5">
        <f t="shared" si="6"/>
        <v>0</v>
      </c>
      <c r="I129" s="95">
        <v>20</v>
      </c>
      <c r="J129" s="8">
        <f t="shared" si="7"/>
        <v>24.5</v>
      </c>
    </row>
    <row r="130" spans="1:10">
      <c r="B130" s="4">
        <v>6</v>
      </c>
      <c r="C130">
        <v>1000</v>
      </c>
      <c r="D130">
        <v>1000</v>
      </c>
      <c r="E130">
        <f t="shared" si="8"/>
        <v>2000</v>
      </c>
      <c r="F130">
        <v>140</v>
      </c>
      <c r="G130">
        <f t="shared" si="9"/>
        <v>1860</v>
      </c>
      <c r="H130" s="5">
        <f t="shared" si="6"/>
        <v>7.5268817204301078E-2</v>
      </c>
      <c r="I130" s="95">
        <v>40</v>
      </c>
      <c r="J130" s="8">
        <f t="shared" si="7"/>
        <v>46.5</v>
      </c>
    </row>
    <row r="131" spans="1:10">
      <c r="A131" s="2">
        <v>45922</v>
      </c>
      <c r="B131" s="4">
        <v>1</v>
      </c>
      <c r="C131">
        <v>750</v>
      </c>
      <c r="D131">
        <v>750</v>
      </c>
      <c r="E131">
        <f t="shared" si="8"/>
        <v>1500</v>
      </c>
      <c r="F131">
        <v>80</v>
      </c>
      <c r="G131">
        <f t="shared" si="9"/>
        <v>1420</v>
      </c>
      <c r="H131" s="5">
        <f t="shared" si="6"/>
        <v>5.6338028169014086E-2</v>
      </c>
      <c r="I131" s="95">
        <v>30</v>
      </c>
      <c r="J131" s="8">
        <f t="shared" si="7"/>
        <v>47.333333333333336</v>
      </c>
    </row>
    <row r="132" spans="1:10">
      <c r="B132" s="15">
        <v>2</v>
      </c>
      <c r="C132">
        <v>245</v>
      </c>
      <c r="D132">
        <v>245</v>
      </c>
      <c r="E132">
        <f t="shared" si="8"/>
        <v>490</v>
      </c>
      <c r="F132">
        <v>0</v>
      </c>
      <c r="G132">
        <f t="shared" si="9"/>
        <v>490</v>
      </c>
      <c r="H132" s="5">
        <f t="shared" si="6"/>
        <v>0</v>
      </c>
      <c r="I132" s="95">
        <v>20</v>
      </c>
      <c r="J132" s="8">
        <f t="shared" si="7"/>
        <v>24.5</v>
      </c>
    </row>
    <row r="133" spans="1:10">
      <c r="B133" s="4">
        <v>3</v>
      </c>
      <c r="C133">
        <v>600</v>
      </c>
      <c r="D133">
        <v>600</v>
      </c>
      <c r="E133">
        <f t="shared" si="8"/>
        <v>1200</v>
      </c>
      <c r="F133">
        <v>130</v>
      </c>
      <c r="G133">
        <f t="shared" si="9"/>
        <v>1070</v>
      </c>
      <c r="H133" s="5">
        <f t="shared" si="6"/>
        <v>0.12149532710280374</v>
      </c>
      <c r="I133" s="95">
        <v>24</v>
      </c>
      <c r="J133" s="8">
        <f t="shared" si="7"/>
        <v>44.583333333333336</v>
      </c>
    </row>
    <row r="134" spans="1:10">
      <c r="B134" s="15">
        <v>4</v>
      </c>
      <c r="C134">
        <v>530</v>
      </c>
      <c r="D134">
        <v>530</v>
      </c>
      <c r="E134">
        <f t="shared" si="8"/>
        <v>1060</v>
      </c>
      <c r="F134">
        <v>100</v>
      </c>
      <c r="G134">
        <f t="shared" si="9"/>
        <v>960</v>
      </c>
      <c r="H134" s="5">
        <f t="shared" ref="H134:H184" si="10">$F134/G134</f>
        <v>0.10416666666666667</v>
      </c>
      <c r="I134" s="95">
        <v>21</v>
      </c>
      <c r="J134" s="8">
        <f t="shared" ref="J134:J184" si="11">$G134/I134</f>
        <v>45.714285714285715</v>
      </c>
    </row>
    <row r="135" spans="1:10">
      <c r="B135" s="15">
        <v>5</v>
      </c>
      <c r="C135">
        <v>245</v>
      </c>
      <c r="D135">
        <v>245</v>
      </c>
      <c r="E135">
        <f t="shared" si="8"/>
        <v>490</v>
      </c>
      <c r="F135">
        <v>0</v>
      </c>
      <c r="G135">
        <f t="shared" si="9"/>
        <v>490</v>
      </c>
      <c r="H135" s="5">
        <f t="shared" si="10"/>
        <v>0</v>
      </c>
      <c r="I135" s="95">
        <v>20</v>
      </c>
      <c r="J135" s="8">
        <f t="shared" si="11"/>
        <v>24.5</v>
      </c>
    </row>
    <row r="136" spans="1:10">
      <c r="B136" s="4">
        <v>6</v>
      </c>
      <c r="C136">
        <v>1000</v>
      </c>
      <c r="D136">
        <v>1000</v>
      </c>
      <c r="E136">
        <f t="shared" si="8"/>
        <v>2000</v>
      </c>
      <c r="F136">
        <v>220</v>
      </c>
      <c r="G136">
        <f t="shared" si="9"/>
        <v>1780</v>
      </c>
      <c r="H136" s="5">
        <f t="shared" si="10"/>
        <v>0.12359550561797752</v>
      </c>
      <c r="I136" s="95">
        <v>40</v>
      </c>
      <c r="J136" s="8">
        <f t="shared" si="11"/>
        <v>44.5</v>
      </c>
    </row>
    <row r="137" spans="1:10">
      <c r="A137" s="2">
        <v>45923</v>
      </c>
      <c r="B137" s="4">
        <v>1</v>
      </c>
      <c r="C137">
        <v>750</v>
      </c>
      <c r="D137">
        <v>750</v>
      </c>
      <c r="E137">
        <f t="shared" si="8"/>
        <v>1500</v>
      </c>
      <c r="F137">
        <v>90</v>
      </c>
      <c r="G137">
        <f t="shared" si="9"/>
        <v>1410</v>
      </c>
      <c r="H137" s="5">
        <f t="shared" si="10"/>
        <v>6.3829787234042548E-2</v>
      </c>
      <c r="I137" s="95">
        <v>30</v>
      </c>
      <c r="J137" s="8">
        <f t="shared" si="11"/>
        <v>47</v>
      </c>
    </row>
    <row r="138" spans="1:10">
      <c r="B138" s="15">
        <v>2</v>
      </c>
      <c r="C138">
        <v>245</v>
      </c>
      <c r="D138">
        <v>245</v>
      </c>
      <c r="E138">
        <f t="shared" si="8"/>
        <v>490</v>
      </c>
      <c r="F138">
        <v>0</v>
      </c>
      <c r="G138">
        <f t="shared" si="9"/>
        <v>490</v>
      </c>
      <c r="H138" s="5">
        <f t="shared" si="10"/>
        <v>0</v>
      </c>
      <c r="I138" s="95">
        <v>20</v>
      </c>
      <c r="J138" s="8">
        <f t="shared" si="11"/>
        <v>24.5</v>
      </c>
    </row>
    <row r="139" spans="1:10">
      <c r="B139" s="4">
        <v>3</v>
      </c>
      <c r="C139">
        <v>600</v>
      </c>
      <c r="D139">
        <v>600</v>
      </c>
      <c r="E139">
        <f t="shared" ref="E139:E184" si="12">$C139+D139</f>
        <v>1200</v>
      </c>
      <c r="F139">
        <v>60</v>
      </c>
      <c r="G139">
        <f t="shared" si="9"/>
        <v>1140</v>
      </c>
      <c r="H139" s="5">
        <f t="shared" si="10"/>
        <v>5.2631578947368418E-2</v>
      </c>
      <c r="I139" s="95">
        <v>24</v>
      </c>
      <c r="J139" s="8">
        <f t="shared" si="11"/>
        <v>47.5</v>
      </c>
    </row>
    <row r="140" spans="1:10">
      <c r="B140" s="15">
        <v>4</v>
      </c>
      <c r="C140">
        <v>530</v>
      </c>
      <c r="D140">
        <v>530</v>
      </c>
      <c r="E140">
        <f t="shared" si="12"/>
        <v>1060</v>
      </c>
      <c r="F140">
        <v>185</v>
      </c>
      <c r="G140">
        <f t="shared" si="9"/>
        <v>875</v>
      </c>
      <c r="H140" s="5">
        <f t="shared" si="10"/>
        <v>0.21142857142857144</v>
      </c>
      <c r="I140" s="95">
        <v>21</v>
      </c>
      <c r="J140" s="8">
        <f t="shared" si="11"/>
        <v>41.666666666666664</v>
      </c>
    </row>
    <row r="141" spans="1:10">
      <c r="B141" s="15">
        <v>5</v>
      </c>
      <c r="C141">
        <v>245</v>
      </c>
      <c r="D141">
        <v>245</v>
      </c>
      <c r="E141">
        <f t="shared" si="12"/>
        <v>490</v>
      </c>
      <c r="F141">
        <v>0</v>
      </c>
      <c r="G141">
        <f t="shared" si="9"/>
        <v>490</v>
      </c>
      <c r="H141" s="5">
        <f t="shared" si="10"/>
        <v>0</v>
      </c>
      <c r="I141" s="95">
        <v>20</v>
      </c>
      <c r="J141" s="8">
        <f t="shared" si="11"/>
        <v>24.5</v>
      </c>
    </row>
    <row r="142" spans="1:10">
      <c r="B142" s="4">
        <v>6</v>
      </c>
      <c r="C142">
        <v>1000</v>
      </c>
      <c r="D142">
        <v>1000</v>
      </c>
      <c r="E142">
        <f t="shared" si="12"/>
        <v>2000</v>
      </c>
      <c r="F142">
        <v>45</v>
      </c>
      <c r="G142">
        <f t="shared" si="9"/>
        <v>1955</v>
      </c>
      <c r="H142" s="5">
        <f t="shared" si="10"/>
        <v>2.3017902813299233E-2</v>
      </c>
      <c r="I142" s="95">
        <v>40</v>
      </c>
      <c r="J142" s="8">
        <f t="shared" si="11"/>
        <v>48.875</v>
      </c>
    </row>
    <row r="143" spans="1:10">
      <c r="A143" s="2">
        <v>45924</v>
      </c>
      <c r="B143" s="4">
        <v>1</v>
      </c>
      <c r="C143">
        <v>750</v>
      </c>
      <c r="D143">
        <v>750</v>
      </c>
      <c r="E143">
        <f t="shared" si="12"/>
        <v>1500</v>
      </c>
      <c r="F143">
        <v>35</v>
      </c>
      <c r="G143">
        <f t="shared" ref="G143:G184" si="13">$E143-F143</f>
        <v>1465</v>
      </c>
      <c r="H143" s="5">
        <f t="shared" si="10"/>
        <v>2.3890784982935155E-2</v>
      </c>
      <c r="I143" s="95">
        <v>30</v>
      </c>
      <c r="J143" s="8">
        <f t="shared" si="11"/>
        <v>48.833333333333336</v>
      </c>
    </row>
    <row r="144" spans="1:10">
      <c r="B144" s="15">
        <v>2</v>
      </c>
      <c r="C144">
        <v>245</v>
      </c>
      <c r="D144">
        <v>245</v>
      </c>
      <c r="E144">
        <f t="shared" si="12"/>
        <v>490</v>
      </c>
      <c r="F144">
        <v>0</v>
      </c>
      <c r="G144">
        <f t="shared" si="13"/>
        <v>490</v>
      </c>
      <c r="H144" s="5">
        <f t="shared" si="10"/>
        <v>0</v>
      </c>
      <c r="I144" s="95">
        <v>20</v>
      </c>
      <c r="J144" s="8">
        <f t="shared" si="11"/>
        <v>24.5</v>
      </c>
    </row>
    <row r="145" spans="1:10">
      <c r="B145" s="4">
        <v>3</v>
      </c>
      <c r="C145">
        <v>600</v>
      </c>
      <c r="D145">
        <v>600</v>
      </c>
      <c r="E145">
        <f t="shared" si="12"/>
        <v>1200</v>
      </c>
      <c r="F145">
        <v>40</v>
      </c>
      <c r="G145">
        <f t="shared" si="13"/>
        <v>1160</v>
      </c>
      <c r="H145" s="5">
        <f t="shared" si="10"/>
        <v>3.4482758620689655E-2</v>
      </c>
      <c r="I145" s="95">
        <v>24</v>
      </c>
      <c r="J145" s="8">
        <f t="shared" si="11"/>
        <v>48.333333333333336</v>
      </c>
    </row>
    <row r="146" spans="1:10">
      <c r="B146" s="15">
        <v>4</v>
      </c>
      <c r="C146">
        <v>530</v>
      </c>
      <c r="D146">
        <v>530</v>
      </c>
      <c r="E146">
        <f t="shared" si="12"/>
        <v>1060</v>
      </c>
      <c r="F146">
        <v>0</v>
      </c>
      <c r="G146">
        <f t="shared" si="13"/>
        <v>1060</v>
      </c>
      <c r="H146" s="5">
        <f t="shared" si="10"/>
        <v>0</v>
      </c>
      <c r="I146" s="95">
        <v>21</v>
      </c>
      <c r="J146" s="8">
        <f t="shared" si="11"/>
        <v>50.476190476190474</v>
      </c>
    </row>
    <row r="147" spans="1:10">
      <c r="B147" s="15">
        <v>5</v>
      </c>
      <c r="C147">
        <v>245</v>
      </c>
      <c r="D147">
        <v>245</v>
      </c>
      <c r="E147">
        <f t="shared" si="12"/>
        <v>490</v>
      </c>
      <c r="F147">
        <v>0</v>
      </c>
      <c r="G147">
        <f t="shared" si="13"/>
        <v>490</v>
      </c>
      <c r="H147" s="5">
        <f t="shared" si="10"/>
        <v>0</v>
      </c>
      <c r="I147" s="95">
        <v>20</v>
      </c>
      <c r="J147" s="8">
        <f t="shared" si="11"/>
        <v>24.5</v>
      </c>
    </row>
    <row r="148" spans="1:10">
      <c r="B148" s="4">
        <v>6</v>
      </c>
      <c r="C148">
        <v>1000</v>
      </c>
      <c r="D148">
        <v>1000</v>
      </c>
      <c r="E148">
        <f t="shared" si="12"/>
        <v>2000</v>
      </c>
      <c r="F148">
        <v>0</v>
      </c>
      <c r="G148">
        <f t="shared" si="13"/>
        <v>2000</v>
      </c>
      <c r="H148" s="5">
        <f t="shared" si="10"/>
        <v>0</v>
      </c>
      <c r="I148" s="95">
        <v>40</v>
      </c>
      <c r="J148" s="8">
        <f t="shared" si="11"/>
        <v>50</v>
      </c>
    </row>
    <row r="149" spans="1:10">
      <c r="A149" s="2">
        <v>45925</v>
      </c>
      <c r="B149" s="4">
        <v>1</v>
      </c>
      <c r="C149">
        <v>750</v>
      </c>
      <c r="D149">
        <v>750</v>
      </c>
      <c r="E149">
        <f t="shared" si="12"/>
        <v>1500</v>
      </c>
      <c r="F149">
        <v>90</v>
      </c>
      <c r="G149">
        <f t="shared" si="13"/>
        <v>1410</v>
      </c>
      <c r="H149" s="5">
        <f t="shared" si="10"/>
        <v>6.3829787234042548E-2</v>
      </c>
      <c r="I149" s="95">
        <v>30</v>
      </c>
      <c r="J149" s="8">
        <f t="shared" si="11"/>
        <v>47</v>
      </c>
    </row>
    <row r="150" spans="1:10">
      <c r="B150" s="15">
        <v>2</v>
      </c>
      <c r="C150">
        <v>245</v>
      </c>
      <c r="D150">
        <v>245</v>
      </c>
      <c r="E150">
        <f t="shared" si="12"/>
        <v>490</v>
      </c>
      <c r="F150">
        <v>0</v>
      </c>
      <c r="G150">
        <f t="shared" si="13"/>
        <v>490</v>
      </c>
      <c r="H150" s="5">
        <f t="shared" si="10"/>
        <v>0</v>
      </c>
      <c r="I150" s="95">
        <v>20</v>
      </c>
      <c r="J150" s="8">
        <f t="shared" si="11"/>
        <v>24.5</v>
      </c>
    </row>
    <row r="151" spans="1:10">
      <c r="B151" s="4">
        <v>3</v>
      </c>
      <c r="C151">
        <v>600</v>
      </c>
      <c r="D151">
        <v>600</v>
      </c>
      <c r="E151">
        <f t="shared" si="12"/>
        <v>1200</v>
      </c>
      <c r="F151">
        <v>60</v>
      </c>
      <c r="G151">
        <f t="shared" si="13"/>
        <v>1140</v>
      </c>
      <c r="H151" s="5">
        <f t="shared" si="10"/>
        <v>5.2631578947368418E-2</v>
      </c>
      <c r="I151" s="95">
        <v>24</v>
      </c>
      <c r="J151" s="8">
        <f t="shared" si="11"/>
        <v>47.5</v>
      </c>
    </row>
    <row r="152" spans="1:10">
      <c r="B152" s="15">
        <v>4</v>
      </c>
      <c r="C152">
        <v>530</v>
      </c>
      <c r="D152">
        <v>530</v>
      </c>
      <c r="E152">
        <f t="shared" si="12"/>
        <v>1060</v>
      </c>
      <c r="F152">
        <v>185</v>
      </c>
      <c r="G152">
        <f t="shared" si="13"/>
        <v>875</v>
      </c>
      <c r="H152" s="5">
        <f t="shared" si="10"/>
        <v>0.21142857142857144</v>
      </c>
      <c r="I152" s="95">
        <v>21</v>
      </c>
      <c r="J152" s="8">
        <f t="shared" si="11"/>
        <v>41.666666666666664</v>
      </c>
    </row>
    <row r="153" spans="1:10">
      <c r="B153" s="15">
        <v>5</v>
      </c>
      <c r="C153">
        <v>245</v>
      </c>
      <c r="D153">
        <v>245</v>
      </c>
      <c r="E153">
        <f t="shared" si="12"/>
        <v>490</v>
      </c>
      <c r="F153">
        <v>0</v>
      </c>
      <c r="G153">
        <f t="shared" si="13"/>
        <v>490</v>
      </c>
      <c r="H153" s="5">
        <f t="shared" si="10"/>
        <v>0</v>
      </c>
      <c r="I153" s="95">
        <v>20</v>
      </c>
      <c r="J153" s="8">
        <f t="shared" si="11"/>
        <v>24.5</v>
      </c>
    </row>
    <row r="154" spans="1:10">
      <c r="B154" s="4">
        <v>6</v>
      </c>
      <c r="C154">
        <v>1000</v>
      </c>
      <c r="D154">
        <v>1000</v>
      </c>
      <c r="E154">
        <f t="shared" si="12"/>
        <v>2000</v>
      </c>
      <c r="F154">
        <v>45</v>
      </c>
      <c r="G154">
        <f t="shared" si="13"/>
        <v>1955</v>
      </c>
      <c r="H154" s="5">
        <f t="shared" si="10"/>
        <v>2.3017902813299233E-2</v>
      </c>
      <c r="I154" s="95">
        <v>43</v>
      </c>
      <c r="J154" s="8">
        <f t="shared" si="11"/>
        <v>45.465116279069768</v>
      </c>
    </row>
    <row r="155" spans="1:10">
      <c r="A155" s="2">
        <v>45926</v>
      </c>
      <c r="B155" s="4">
        <v>1</v>
      </c>
      <c r="E155">
        <f t="shared" si="12"/>
        <v>0</v>
      </c>
      <c r="G155">
        <f t="shared" si="13"/>
        <v>0</v>
      </c>
      <c r="H155" s="5" t="e">
        <f t="shared" si="10"/>
        <v>#DIV/0!</v>
      </c>
      <c r="J155" s="8" t="e">
        <f t="shared" si="11"/>
        <v>#DIV/0!</v>
      </c>
    </row>
    <row r="156" spans="1:10">
      <c r="B156" s="15">
        <v>2</v>
      </c>
      <c r="E156">
        <f t="shared" si="12"/>
        <v>0</v>
      </c>
      <c r="G156">
        <f t="shared" si="13"/>
        <v>0</v>
      </c>
      <c r="H156" s="5" t="e">
        <f t="shared" si="10"/>
        <v>#DIV/0!</v>
      </c>
      <c r="J156" s="8" t="e">
        <f t="shared" si="11"/>
        <v>#DIV/0!</v>
      </c>
    </row>
    <row r="157" spans="1:10">
      <c r="B157" s="4">
        <v>3</v>
      </c>
      <c r="E157">
        <f t="shared" si="12"/>
        <v>0</v>
      </c>
      <c r="G157">
        <f t="shared" si="13"/>
        <v>0</v>
      </c>
      <c r="H157" s="5" t="e">
        <f t="shared" si="10"/>
        <v>#DIV/0!</v>
      </c>
      <c r="J157" s="8" t="e">
        <f t="shared" si="11"/>
        <v>#DIV/0!</v>
      </c>
    </row>
    <row r="158" spans="1:10">
      <c r="B158" s="15">
        <v>4</v>
      </c>
      <c r="E158">
        <f t="shared" si="12"/>
        <v>0</v>
      </c>
      <c r="G158">
        <f t="shared" si="13"/>
        <v>0</v>
      </c>
      <c r="H158" s="5" t="e">
        <f t="shared" si="10"/>
        <v>#DIV/0!</v>
      </c>
      <c r="J158" s="8" t="e">
        <f t="shared" si="11"/>
        <v>#DIV/0!</v>
      </c>
    </row>
    <row r="159" spans="1:10">
      <c r="B159" s="15">
        <v>5</v>
      </c>
      <c r="E159">
        <f t="shared" si="12"/>
        <v>0</v>
      </c>
      <c r="G159">
        <f t="shared" si="13"/>
        <v>0</v>
      </c>
      <c r="H159" s="5" t="e">
        <f t="shared" si="10"/>
        <v>#DIV/0!</v>
      </c>
      <c r="J159" s="8" t="e">
        <f t="shared" si="11"/>
        <v>#DIV/0!</v>
      </c>
    </row>
    <row r="160" spans="1:10">
      <c r="B160" s="4">
        <v>6</v>
      </c>
      <c r="E160">
        <f t="shared" si="12"/>
        <v>0</v>
      </c>
      <c r="G160">
        <f t="shared" si="13"/>
        <v>0</v>
      </c>
      <c r="H160" s="5" t="e">
        <f t="shared" si="10"/>
        <v>#DIV/0!</v>
      </c>
      <c r="J160" s="8" t="e">
        <f t="shared" si="11"/>
        <v>#DIV/0!</v>
      </c>
    </row>
    <row r="161" spans="1:10">
      <c r="A161" s="2">
        <v>45927</v>
      </c>
      <c r="B161" s="4">
        <v>1</v>
      </c>
      <c r="E161">
        <f t="shared" si="12"/>
        <v>0</v>
      </c>
      <c r="G161">
        <f t="shared" si="13"/>
        <v>0</v>
      </c>
      <c r="H161" s="5" t="e">
        <f t="shared" si="10"/>
        <v>#DIV/0!</v>
      </c>
      <c r="J161" s="8" t="e">
        <f t="shared" si="11"/>
        <v>#DIV/0!</v>
      </c>
    </row>
    <row r="162" spans="1:10">
      <c r="B162" s="15">
        <v>2</v>
      </c>
      <c r="E162">
        <f t="shared" si="12"/>
        <v>0</v>
      </c>
      <c r="G162">
        <f t="shared" si="13"/>
        <v>0</v>
      </c>
      <c r="H162" s="5" t="e">
        <f t="shared" si="10"/>
        <v>#DIV/0!</v>
      </c>
      <c r="J162" s="8" t="e">
        <f t="shared" si="11"/>
        <v>#DIV/0!</v>
      </c>
    </row>
    <row r="163" spans="1:10">
      <c r="B163" s="4">
        <v>3</v>
      </c>
      <c r="E163">
        <f t="shared" si="12"/>
        <v>0</v>
      </c>
      <c r="G163">
        <f t="shared" si="13"/>
        <v>0</v>
      </c>
      <c r="H163" s="5" t="e">
        <f t="shared" si="10"/>
        <v>#DIV/0!</v>
      </c>
      <c r="J163" s="8" t="e">
        <f t="shared" si="11"/>
        <v>#DIV/0!</v>
      </c>
    </row>
    <row r="164" spans="1:10">
      <c r="B164" s="15">
        <v>4</v>
      </c>
      <c r="E164">
        <f t="shared" si="12"/>
        <v>0</v>
      </c>
      <c r="G164">
        <f t="shared" si="13"/>
        <v>0</v>
      </c>
      <c r="H164" s="5" t="e">
        <f t="shared" si="10"/>
        <v>#DIV/0!</v>
      </c>
      <c r="J164" s="8" t="e">
        <f t="shared" si="11"/>
        <v>#DIV/0!</v>
      </c>
    </row>
    <row r="165" spans="1:10">
      <c r="B165" s="15">
        <v>5</v>
      </c>
      <c r="E165">
        <f t="shared" si="12"/>
        <v>0</v>
      </c>
      <c r="G165">
        <f t="shared" si="13"/>
        <v>0</v>
      </c>
      <c r="H165" s="5" t="e">
        <f t="shared" si="10"/>
        <v>#DIV/0!</v>
      </c>
      <c r="J165" s="8" t="e">
        <f t="shared" si="11"/>
        <v>#DIV/0!</v>
      </c>
    </row>
    <row r="166" spans="1:10">
      <c r="B166" s="4">
        <v>6</v>
      </c>
      <c r="E166">
        <f t="shared" si="12"/>
        <v>0</v>
      </c>
      <c r="G166">
        <f t="shared" si="13"/>
        <v>0</v>
      </c>
      <c r="H166" s="5" t="e">
        <f t="shared" si="10"/>
        <v>#DIV/0!</v>
      </c>
      <c r="J166" s="8" t="e">
        <f t="shared" si="11"/>
        <v>#DIV/0!</v>
      </c>
    </row>
    <row r="167" spans="1:10">
      <c r="A167" s="2">
        <v>45928</v>
      </c>
      <c r="B167" s="4">
        <v>1</v>
      </c>
      <c r="E167">
        <f t="shared" si="12"/>
        <v>0</v>
      </c>
      <c r="G167">
        <f t="shared" si="13"/>
        <v>0</v>
      </c>
      <c r="H167" s="5" t="e">
        <f t="shared" si="10"/>
        <v>#DIV/0!</v>
      </c>
      <c r="J167" s="8" t="e">
        <f t="shared" si="11"/>
        <v>#DIV/0!</v>
      </c>
    </row>
    <row r="168" spans="1:10">
      <c r="B168" s="15">
        <v>2</v>
      </c>
      <c r="E168">
        <f t="shared" si="12"/>
        <v>0</v>
      </c>
      <c r="G168">
        <f t="shared" si="13"/>
        <v>0</v>
      </c>
      <c r="H168" s="5" t="e">
        <f t="shared" si="10"/>
        <v>#DIV/0!</v>
      </c>
      <c r="J168" s="8" t="e">
        <f t="shared" si="11"/>
        <v>#DIV/0!</v>
      </c>
    </row>
    <row r="169" spans="1:10">
      <c r="B169" s="4">
        <v>3</v>
      </c>
      <c r="E169">
        <f t="shared" si="12"/>
        <v>0</v>
      </c>
      <c r="G169">
        <f t="shared" si="13"/>
        <v>0</v>
      </c>
      <c r="H169" s="5" t="e">
        <f t="shared" si="10"/>
        <v>#DIV/0!</v>
      </c>
      <c r="J169" s="8" t="e">
        <f t="shared" si="11"/>
        <v>#DIV/0!</v>
      </c>
    </row>
    <row r="170" spans="1:10">
      <c r="B170" s="15">
        <v>4</v>
      </c>
      <c r="E170">
        <f t="shared" si="12"/>
        <v>0</v>
      </c>
      <c r="G170">
        <f t="shared" si="13"/>
        <v>0</v>
      </c>
      <c r="H170" s="5" t="e">
        <f t="shared" si="10"/>
        <v>#DIV/0!</v>
      </c>
      <c r="J170" s="8" t="e">
        <f t="shared" si="11"/>
        <v>#DIV/0!</v>
      </c>
    </row>
    <row r="171" spans="1:10">
      <c r="B171" s="15">
        <v>5</v>
      </c>
      <c r="E171">
        <f t="shared" si="12"/>
        <v>0</v>
      </c>
      <c r="G171">
        <f t="shared" si="13"/>
        <v>0</v>
      </c>
      <c r="H171" s="5" t="e">
        <f t="shared" si="10"/>
        <v>#DIV/0!</v>
      </c>
      <c r="J171" s="8" t="e">
        <f t="shared" si="11"/>
        <v>#DIV/0!</v>
      </c>
    </row>
    <row r="172" spans="1:10">
      <c r="B172" s="4">
        <v>6</v>
      </c>
      <c r="E172">
        <f t="shared" si="12"/>
        <v>0</v>
      </c>
      <c r="G172">
        <f t="shared" si="13"/>
        <v>0</v>
      </c>
      <c r="H172" s="5" t="e">
        <f t="shared" si="10"/>
        <v>#DIV/0!</v>
      </c>
      <c r="J172" s="8" t="e">
        <f t="shared" si="11"/>
        <v>#DIV/0!</v>
      </c>
    </row>
    <row r="173" spans="1:10">
      <c r="A173" s="2">
        <v>45929</v>
      </c>
      <c r="B173" s="4">
        <v>1</v>
      </c>
      <c r="E173">
        <f t="shared" si="12"/>
        <v>0</v>
      </c>
      <c r="G173">
        <f t="shared" si="13"/>
        <v>0</v>
      </c>
      <c r="H173" s="5" t="e">
        <f t="shared" si="10"/>
        <v>#DIV/0!</v>
      </c>
      <c r="J173" s="8" t="e">
        <f t="shared" si="11"/>
        <v>#DIV/0!</v>
      </c>
    </row>
    <row r="174" spans="1:10">
      <c r="B174" s="15">
        <v>2</v>
      </c>
      <c r="E174">
        <f t="shared" si="12"/>
        <v>0</v>
      </c>
      <c r="G174">
        <f t="shared" si="13"/>
        <v>0</v>
      </c>
      <c r="H174" s="5" t="e">
        <f t="shared" si="10"/>
        <v>#DIV/0!</v>
      </c>
      <c r="J174" s="8" t="e">
        <f t="shared" si="11"/>
        <v>#DIV/0!</v>
      </c>
    </row>
    <row r="175" spans="1:10">
      <c r="B175" s="4">
        <v>3</v>
      </c>
      <c r="E175">
        <f t="shared" si="12"/>
        <v>0</v>
      </c>
      <c r="G175">
        <f t="shared" si="13"/>
        <v>0</v>
      </c>
      <c r="H175" s="5" t="e">
        <f t="shared" si="10"/>
        <v>#DIV/0!</v>
      </c>
      <c r="J175" s="8" t="e">
        <f t="shared" si="11"/>
        <v>#DIV/0!</v>
      </c>
    </row>
    <row r="176" spans="1:10">
      <c r="B176" s="15">
        <v>4</v>
      </c>
      <c r="E176">
        <f t="shared" si="12"/>
        <v>0</v>
      </c>
      <c r="G176">
        <f t="shared" si="13"/>
        <v>0</v>
      </c>
      <c r="H176" s="5" t="e">
        <f t="shared" si="10"/>
        <v>#DIV/0!</v>
      </c>
      <c r="J176" s="8" t="e">
        <f t="shared" si="11"/>
        <v>#DIV/0!</v>
      </c>
    </row>
    <row r="177" spans="1:10">
      <c r="B177" s="15">
        <v>5</v>
      </c>
      <c r="E177">
        <f t="shared" si="12"/>
        <v>0</v>
      </c>
      <c r="G177">
        <f t="shared" si="13"/>
        <v>0</v>
      </c>
      <c r="H177" s="5" t="e">
        <f t="shared" si="10"/>
        <v>#DIV/0!</v>
      </c>
      <c r="J177" s="8" t="e">
        <f t="shared" si="11"/>
        <v>#DIV/0!</v>
      </c>
    </row>
    <row r="178" spans="1:10">
      <c r="B178" s="4">
        <v>6</v>
      </c>
      <c r="E178">
        <f t="shared" si="12"/>
        <v>0</v>
      </c>
      <c r="G178">
        <f t="shared" si="13"/>
        <v>0</v>
      </c>
      <c r="H178" s="5" t="e">
        <f t="shared" si="10"/>
        <v>#DIV/0!</v>
      </c>
      <c r="J178" s="8" t="e">
        <f t="shared" si="11"/>
        <v>#DIV/0!</v>
      </c>
    </row>
    <row r="179" spans="1:10">
      <c r="A179" s="2">
        <v>45930</v>
      </c>
      <c r="B179" s="4">
        <v>1</v>
      </c>
      <c r="E179">
        <f t="shared" si="12"/>
        <v>0</v>
      </c>
      <c r="G179">
        <f t="shared" si="13"/>
        <v>0</v>
      </c>
      <c r="H179" s="5" t="e">
        <f t="shared" si="10"/>
        <v>#DIV/0!</v>
      </c>
      <c r="J179" s="8" t="e">
        <f t="shared" si="11"/>
        <v>#DIV/0!</v>
      </c>
    </row>
    <row r="180" spans="1:10">
      <c r="B180" s="15">
        <v>2</v>
      </c>
      <c r="E180">
        <f t="shared" si="12"/>
        <v>0</v>
      </c>
      <c r="G180">
        <f t="shared" si="13"/>
        <v>0</v>
      </c>
      <c r="H180" s="5" t="e">
        <f t="shared" si="10"/>
        <v>#DIV/0!</v>
      </c>
      <c r="J180" s="8" t="e">
        <f t="shared" si="11"/>
        <v>#DIV/0!</v>
      </c>
    </row>
    <row r="181" spans="1:10">
      <c r="B181" s="4">
        <v>3</v>
      </c>
      <c r="E181">
        <f t="shared" si="12"/>
        <v>0</v>
      </c>
      <c r="G181">
        <f t="shared" si="13"/>
        <v>0</v>
      </c>
      <c r="H181" s="5" t="e">
        <f t="shared" si="10"/>
        <v>#DIV/0!</v>
      </c>
      <c r="J181" s="8" t="e">
        <f t="shared" si="11"/>
        <v>#DIV/0!</v>
      </c>
    </row>
    <row r="182" spans="1:10">
      <c r="B182" s="15">
        <v>4</v>
      </c>
      <c r="E182">
        <f t="shared" si="12"/>
        <v>0</v>
      </c>
      <c r="G182">
        <f t="shared" si="13"/>
        <v>0</v>
      </c>
      <c r="H182" s="5" t="e">
        <f t="shared" si="10"/>
        <v>#DIV/0!</v>
      </c>
      <c r="J182" s="8" t="e">
        <f t="shared" si="11"/>
        <v>#DIV/0!</v>
      </c>
    </row>
    <row r="183" spans="1:10">
      <c r="B183" s="15">
        <v>5</v>
      </c>
      <c r="E183">
        <f t="shared" si="12"/>
        <v>0</v>
      </c>
      <c r="G183">
        <f t="shared" si="13"/>
        <v>0</v>
      </c>
      <c r="H183" s="5" t="e">
        <f t="shared" si="10"/>
        <v>#DIV/0!</v>
      </c>
      <c r="J183" s="8" t="e">
        <f t="shared" si="11"/>
        <v>#DIV/0!</v>
      </c>
    </row>
    <row r="184" spans="1:10">
      <c r="B184" s="4">
        <v>6</v>
      </c>
      <c r="E184">
        <f t="shared" si="12"/>
        <v>0</v>
      </c>
      <c r="G184">
        <f t="shared" si="13"/>
        <v>0</v>
      </c>
      <c r="H184" s="5" t="e">
        <f t="shared" si="10"/>
        <v>#DIV/0!</v>
      </c>
      <c r="J184" s="8" t="e">
        <f t="shared" si="11"/>
        <v>#DIV/0!</v>
      </c>
    </row>
    <row r="185" spans="1:10">
      <c r="H185"/>
    </row>
    <row r="186" spans="1:10">
      <c r="H186"/>
    </row>
    <row r="187" spans="1:10">
      <c r="H187"/>
    </row>
    <row r="188" spans="1:10">
      <c r="H188"/>
    </row>
    <row r="189" spans="1:10">
      <c r="H189"/>
    </row>
    <row r="190" spans="1:10">
      <c r="H190"/>
    </row>
  </sheetData>
  <mergeCells count="1">
    <mergeCell ref="B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D132-AAAE-48B1-9AD2-581EF7CFF9E2}">
  <dimension ref="A1:E16"/>
  <sheetViews>
    <sheetView workbookViewId="0">
      <selection activeCell="D16" sqref="D16"/>
    </sheetView>
  </sheetViews>
  <sheetFormatPr baseColWidth="10" defaultRowHeight="14"/>
  <cols>
    <col min="1" max="1" width="23.1640625" customWidth="1"/>
    <col min="2" max="2" width="7.4140625" customWidth="1"/>
    <col min="3" max="3" width="12.25" customWidth="1"/>
    <col min="4" max="4" width="12.83203125" customWidth="1"/>
    <col min="5" max="5" width="15.6640625" customWidth="1"/>
  </cols>
  <sheetData>
    <row r="1" spans="1:5" ht="23">
      <c r="A1" s="99" t="s">
        <v>27</v>
      </c>
      <c r="B1" s="100"/>
      <c r="C1" s="100"/>
      <c r="D1" s="100"/>
      <c r="E1" s="100"/>
    </row>
    <row r="2" spans="1:5" ht="14.5" thickBot="1">
      <c r="A2" s="101" t="s">
        <v>29</v>
      </c>
      <c r="B2" s="101"/>
      <c r="C2" s="101"/>
      <c r="D2" s="101"/>
      <c r="E2" s="101"/>
    </row>
    <row r="3" spans="1:5">
      <c r="A3" s="25" t="s">
        <v>30</v>
      </c>
      <c r="B3" s="26"/>
      <c r="C3" s="27" t="s">
        <v>31</v>
      </c>
      <c r="D3" s="28"/>
      <c r="E3" s="29">
        <v>154</v>
      </c>
    </row>
    <row r="4" spans="1:5" ht="14.5" thickBot="1">
      <c r="A4" s="30"/>
      <c r="B4" s="80" t="s">
        <v>32</v>
      </c>
      <c r="C4" s="32" t="s">
        <v>33</v>
      </c>
      <c r="D4" s="28" t="s">
        <v>34</v>
      </c>
      <c r="E4" s="33" t="s">
        <v>35</v>
      </c>
    </row>
    <row r="5" spans="1:5" ht="14.5" thickBot="1">
      <c r="A5" t="s">
        <v>36</v>
      </c>
      <c r="B5" s="4"/>
      <c r="C5" s="28"/>
      <c r="D5" s="28"/>
      <c r="E5" s="34">
        <v>0.5</v>
      </c>
    </row>
    <row r="6" spans="1:5" ht="14.5" thickBot="1">
      <c r="A6" s="35" t="s">
        <v>28</v>
      </c>
      <c r="B6" s="81">
        <v>0.31</v>
      </c>
      <c r="C6" s="37">
        <v>25.16</v>
      </c>
      <c r="D6" s="38">
        <f>B6*C6</f>
        <v>7.7995999999999999</v>
      </c>
      <c r="E6" s="39">
        <f>($C6*E5)*E3</f>
        <v>1937.32</v>
      </c>
    </row>
    <row r="7" spans="1:5">
      <c r="A7" s="40"/>
      <c r="B7" s="82"/>
      <c r="C7" s="42"/>
      <c r="D7" s="43">
        <f>$B7*C7</f>
        <v>0</v>
      </c>
      <c r="E7" s="44">
        <f>($C7*E5)*E3</f>
        <v>0</v>
      </c>
    </row>
    <row r="8" spans="1:5">
      <c r="A8" s="45" t="s">
        <v>37</v>
      </c>
      <c r="B8" s="83">
        <v>0.88</v>
      </c>
      <c r="C8" s="47">
        <v>0.46</v>
      </c>
      <c r="D8" s="48">
        <f>C8*B8</f>
        <v>0.40479999999999999</v>
      </c>
      <c r="E8" s="49">
        <f t="shared" ref="E8" si="0">($C8*E5)*E3</f>
        <v>35.42</v>
      </c>
    </row>
    <row r="9" spans="1:5">
      <c r="A9" s="45"/>
      <c r="B9" s="82"/>
      <c r="C9" s="50"/>
      <c r="D9" s="48">
        <f>$B9*C9</f>
        <v>0</v>
      </c>
      <c r="E9" s="49">
        <f>($C9*E5)*E3</f>
        <v>0</v>
      </c>
    </row>
    <row r="10" spans="1:5">
      <c r="A10" s="51" t="s">
        <v>38</v>
      </c>
      <c r="B10" s="83">
        <v>0.9</v>
      </c>
      <c r="C10" s="47">
        <v>15.76</v>
      </c>
      <c r="D10" s="48">
        <f>C10*B10</f>
        <v>14.183999999999999</v>
      </c>
      <c r="E10" s="49">
        <f>($C10*E5)*E3</f>
        <v>1213.52</v>
      </c>
    </row>
    <row r="11" spans="1:5">
      <c r="A11" s="52" t="s">
        <v>39</v>
      </c>
      <c r="B11" s="82">
        <v>0.4</v>
      </c>
      <c r="C11" s="53">
        <v>3.33</v>
      </c>
      <c r="D11" s="48">
        <f>$B11*C11</f>
        <v>1.3320000000000001</v>
      </c>
      <c r="E11" s="49">
        <f t="shared" ref="E11" si="1">($C11*E5)*E3</f>
        <v>256.41000000000003</v>
      </c>
    </row>
    <row r="12" spans="1:5">
      <c r="B12" s="4"/>
    </row>
    <row r="13" spans="1:5" ht="14.5" thickBot="1">
      <c r="A13" s="54" t="s">
        <v>40</v>
      </c>
      <c r="B13" s="82">
        <v>1E-3</v>
      </c>
      <c r="C13" s="55">
        <v>5.5</v>
      </c>
      <c r="D13" s="56">
        <f t="shared" ref="D13" si="2">$B13*C13</f>
        <v>5.4999999999999997E-3</v>
      </c>
      <c r="E13" s="57">
        <f t="shared" ref="E13" si="3">($C13*E5)*E3</f>
        <v>423.5</v>
      </c>
    </row>
    <row r="14" spans="1:5">
      <c r="A14" s="58" t="s">
        <v>41</v>
      </c>
      <c r="B14" s="73"/>
      <c r="C14" s="59">
        <f>SUM(C6:C13)</f>
        <v>50.21</v>
      </c>
      <c r="D14" s="60">
        <f>SUM(D6:D13)</f>
        <v>23.725899999999999</v>
      </c>
      <c r="E14" s="61">
        <f>SUM(E6:E13)</f>
        <v>3866.17</v>
      </c>
    </row>
    <row r="16" spans="1:5">
      <c r="A16" s="63" t="s">
        <v>28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572A-14D2-4F4E-9BCD-A4AF9314ACE7}">
  <dimension ref="A1:E13"/>
  <sheetViews>
    <sheetView workbookViewId="0">
      <selection activeCell="H12" sqref="H12"/>
    </sheetView>
  </sheetViews>
  <sheetFormatPr baseColWidth="10" defaultRowHeight="14"/>
  <cols>
    <col min="1" max="1" width="17.33203125" customWidth="1"/>
  </cols>
  <sheetData>
    <row r="1" spans="1:5" ht="36" customHeight="1" thickBot="1">
      <c r="A1" s="101" t="s">
        <v>46</v>
      </c>
      <c r="B1" s="101"/>
      <c r="C1" s="101"/>
      <c r="D1" s="101"/>
      <c r="E1" s="101"/>
    </row>
    <row r="2" spans="1:5">
      <c r="A2" s="25" t="s">
        <v>30</v>
      </c>
      <c r="B2" s="26"/>
      <c r="C2" s="27" t="s">
        <v>31</v>
      </c>
      <c r="D2" s="28"/>
      <c r="E2" s="29">
        <v>164</v>
      </c>
    </row>
    <row r="3" spans="1:5" ht="14.5" thickBot="1">
      <c r="A3" s="30"/>
      <c r="B3" s="31" t="s">
        <v>32</v>
      </c>
      <c r="C3" s="32" t="s">
        <v>33</v>
      </c>
      <c r="D3" s="28" t="s">
        <v>34</v>
      </c>
      <c r="E3" s="33" t="s">
        <v>35</v>
      </c>
    </row>
    <row r="4" spans="1:5" ht="14.5" thickBot="1">
      <c r="A4" t="s">
        <v>36</v>
      </c>
      <c r="C4" s="28"/>
      <c r="D4" s="28"/>
      <c r="E4" s="34">
        <v>0.5</v>
      </c>
    </row>
    <row r="5" spans="1:5" ht="14.5" thickBot="1">
      <c r="A5" s="35" t="s">
        <v>28</v>
      </c>
      <c r="B5" s="36">
        <v>0.31</v>
      </c>
      <c r="C5" s="37">
        <v>32.26</v>
      </c>
      <c r="D5" s="38">
        <f>B5*C5</f>
        <v>10.000599999999999</v>
      </c>
      <c r="E5" s="39">
        <f>($C5*E4)*E2</f>
        <v>2645.3199999999997</v>
      </c>
    </row>
    <row r="6" spans="1:5">
      <c r="A6" s="40"/>
      <c r="B6" s="41"/>
      <c r="C6" s="42"/>
      <c r="D6" s="43">
        <f>$B6*C6</f>
        <v>0</v>
      </c>
      <c r="E6" s="44">
        <f>($C6*E4)*E2</f>
        <v>0</v>
      </c>
    </row>
    <row r="7" spans="1:5">
      <c r="A7" s="45" t="s">
        <v>37</v>
      </c>
      <c r="B7" s="46">
        <v>0.88</v>
      </c>
      <c r="C7" s="47">
        <v>0.34</v>
      </c>
      <c r="D7" s="48">
        <f>C7*B7</f>
        <v>0.29920000000000002</v>
      </c>
      <c r="E7" s="49">
        <f t="shared" ref="E7" si="0">($C7*E4)*E2</f>
        <v>27.880000000000003</v>
      </c>
    </row>
    <row r="8" spans="1:5">
      <c r="A8" s="75" t="s">
        <v>47</v>
      </c>
      <c r="B8" s="41">
        <v>0.9</v>
      </c>
      <c r="C8" s="50">
        <v>4.42</v>
      </c>
      <c r="D8" s="76">
        <f>$B8*C8</f>
        <v>3.9780000000000002</v>
      </c>
      <c r="E8" s="49">
        <f>($C8*E4)*E2</f>
        <v>362.44</v>
      </c>
    </row>
    <row r="9" spans="1:5">
      <c r="A9" s="51" t="s">
        <v>38</v>
      </c>
      <c r="B9" s="46">
        <v>0.9</v>
      </c>
      <c r="C9" s="47">
        <v>8.6999999999999993</v>
      </c>
      <c r="D9" s="48">
        <f>C9*B9</f>
        <v>7.8299999999999992</v>
      </c>
      <c r="E9" s="49">
        <f>($C9*E4)*E2</f>
        <v>713.4</v>
      </c>
    </row>
    <row r="10" spans="1:5">
      <c r="A10" s="52" t="s">
        <v>39</v>
      </c>
      <c r="B10" s="41">
        <v>0.37</v>
      </c>
      <c r="C10" s="53">
        <v>3.73</v>
      </c>
      <c r="D10" s="76">
        <f>$B10*C10</f>
        <v>1.3800999999999999</v>
      </c>
      <c r="E10" s="49">
        <f t="shared" ref="E10" si="1">($C10*E4)*E2</f>
        <v>305.86</v>
      </c>
    </row>
    <row r="12" spans="1:5" ht="14.5" thickBot="1">
      <c r="A12" s="54" t="s">
        <v>40</v>
      </c>
      <c r="B12" s="41">
        <v>1E-3</v>
      </c>
      <c r="C12" s="55">
        <v>3</v>
      </c>
      <c r="D12" s="56">
        <f t="shared" ref="D12" si="2">$B12*C12</f>
        <v>3.0000000000000001E-3</v>
      </c>
      <c r="E12" s="57">
        <f t="shared" ref="E12" si="3">($C12*E4)*E2</f>
        <v>246</v>
      </c>
    </row>
    <row r="13" spans="1:5">
      <c r="A13" s="58" t="s">
        <v>41</v>
      </c>
      <c r="B13" s="58"/>
      <c r="C13" s="59">
        <f>SUM(C5:C12)</f>
        <v>52.449999999999996</v>
      </c>
      <c r="D13" s="60">
        <f>SUM(D5:D12)</f>
        <v>23.490899999999996</v>
      </c>
      <c r="E13" s="61">
        <f>SUM(E5:E12)</f>
        <v>4300.8999999999996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67A1-F81D-4D29-8475-668DC1981A8F}">
  <dimension ref="A1:E16"/>
  <sheetViews>
    <sheetView tabSelected="1" workbookViewId="0">
      <selection activeCell="G9" sqref="G9"/>
    </sheetView>
  </sheetViews>
  <sheetFormatPr baseColWidth="10" defaultRowHeight="14"/>
  <cols>
    <col min="1" max="1" width="17.75" customWidth="1"/>
  </cols>
  <sheetData>
    <row r="1" spans="1:5" ht="14.5" thickBot="1"/>
    <row r="2" spans="1:5">
      <c r="A2" s="25" t="s">
        <v>30</v>
      </c>
      <c r="B2" s="26"/>
      <c r="C2" s="27" t="s">
        <v>31</v>
      </c>
      <c r="D2" s="28"/>
      <c r="E2" s="29">
        <v>160</v>
      </c>
    </row>
    <row r="3" spans="1:5" ht="14.5" thickBot="1">
      <c r="A3" s="30"/>
      <c r="B3" s="31" t="s">
        <v>32</v>
      </c>
      <c r="C3" s="32" t="s">
        <v>33</v>
      </c>
      <c r="D3" s="28" t="s">
        <v>34</v>
      </c>
      <c r="E3" s="33" t="s">
        <v>35</v>
      </c>
    </row>
    <row r="4" spans="1:5">
      <c r="A4" t="s">
        <v>36</v>
      </c>
      <c r="C4" s="28"/>
      <c r="D4" s="28"/>
      <c r="E4" s="34">
        <v>0.5</v>
      </c>
    </row>
    <row r="5" spans="1:5">
      <c r="A5" s="84" t="s">
        <v>53</v>
      </c>
      <c r="B5" s="85">
        <v>0.31</v>
      </c>
      <c r="C5" s="86">
        <v>28.29</v>
      </c>
      <c r="D5" s="87">
        <f>$B5*C5</f>
        <v>8.7698999999999998</v>
      </c>
      <c r="E5" s="59">
        <f t="shared" ref="E5" si="0">($C5*E4)*E2</f>
        <v>2263.1999999999998</v>
      </c>
    </row>
    <row r="6" spans="1:5">
      <c r="A6" s="88" t="s">
        <v>54</v>
      </c>
      <c r="B6" s="41">
        <v>0.34</v>
      </c>
      <c r="C6" s="89">
        <v>5.88</v>
      </c>
      <c r="D6" s="90">
        <f>B6*C6</f>
        <v>1.9992000000000001</v>
      </c>
      <c r="E6" s="59">
        <f>($C6*E4)*E2</f>
        <v>470.4</v>
      </c>
    </row>
    <row r="7" spans="1:5">
      <c r="A7" s="91" t="s">
        <v>37</v>
      </c>
      <c r="B7" s="46">
        <v>0.88</v>
      </c>
      <c r="C7" s="92">
        <v>0.34</v>
      </c>
      <c r="D7" s="43">
        <f>C7*B7</f>
        <v>0.29920000000000002</v>
      </c>
      <c r="E7" s="44">
        <f t="shared" ref="E7" si="1">($C7*E4)*E2</f>
        <v>27.200000000000003</v>
      </c>
    </row>
    <row r="8" spans="1:5">
      <c r="A8" s="93" t="s">
        <v>55</v>
      </c>
      <c r="B8" s="46">
        <v>0.87</v>
      </c>
      <c r="C8" s="4">
        <v>2.2999999999999998</v>
      </c>
      <c r="D8" s="94">
        <f>B8*C8</f>
        <v>2.0009999999999999</v>
      </c>
      <c r="E8" s="49">
        <f>($C8*E4)*E2</f>
        <v>184</v>
      </c>
    </row>
    <row r="9" spans="1:5">
      <c r="A9" s="45" t="s">
        <v>56</v>
      </c>
      <c r="B9" s="46">
        <v>0.9</v>
      </c>
      <c r="C9" s="47">
        <v>0.56000000000000005</v>
      </c>
      <c r="D9" s="48">
        <f>C9*B9</f>
        <v>0.50400000000000011</v>
      </c>
      <c r="E9" s="49">
        <f>($C9*E4)*E2</f>
        <v>44.800000000000004</v>
      </c>
    </row>
    <row r="10" spans="1:5">
      <c r="A10" s="75" t="s">
        <v>47</v>
      </c>
      <c r="B10" s="41">
        <v>0.9</v>
      </c>
      <c r="C10" s="50">
        <v>3.31</v>
      </c>
      <c r="D10" s="76">
        <f>$B10*C10</f>
        <v>2.9790000000000001</v>
      </c>
      <c r="E10" s="49">
        <f>($C10*E4)*E2</f>
        <v>264.8</v>
      </c>
    </row>
    <row r="11" spans="1:5">
      <c r="A11" s="51" t="s">
        <v>38</v>
      </c>
      <c r="B11" s="46">
        <v>0.9</v>
      </c>
      <c r="C11" s="50">
        <v>7.61</v>
      </c>
      <c r="D11" s="48">
        <f>C11*B11</f>
        <v>6.8490000000000002</v>
      </c>
      <c r="E11" s="49">
        <f>($C11*E4)*E2</f>
        <v>608.80000000000007</v>
      </c>
    </row>
    <row r="12" spans="1:5">
      <c r="A12" s="52" t="s">
        <v>39</v>
      </c>
      <c r="B12" s="41">
        <v>0.37</v>
      </c>
      <c r="C12" s="53">
        <v>3.73</v>
      </c>
      <c r="D12" s="76">
        <f>$B12*C12</f>
        <v>1.3800999999999999</v>
      </c>
      <c r="E12" s="49">
        <f t="shared" ref="E12" si="2">($C12*E4)*E2</f>
        <v>298.39999999999998</v>
      </c>
    </row>
    <row r="14" spans="1:5" ht="14.5" thickBot="1">
      <c r="A14" s="54" t="s">
        <v>40</v>
      </c>
      <c r="B14" s="41">
        <v>1E-3</v>
      </c>
      <c r="C14" s="55">
        <v>2</v>
      </c>
      <c r="D14" s="56">
        <f t="shared" ref="D14" si="3">$B14*C14</f>
        <v>2E-3</v>
      </c>
      <c r="E14" s="57">
        <f t="shared" ref="E14" si="4">($C14*E4)*E2</f>
        <v>160</v>
      </c>
    </row>
    <row r="15" spans="1:5">
      <c r="A15" s="58" t="s">
        <v>41</v>
      </c>
      <c r="B15" s="58"/>
      <c r="C15" s="59">
        <f>SUM(C5:C14)</f>
        <v>54.02</v>
      </c>
      <c r="D15" s="60">
        <f>SUM(D5:D14)</f>
        <v>24.783399999999997</v>
      </c>
      <c r="E15" s="61">
        <f>SUM(E5:E14)</f>
        <v>4321.6000000000004</v>
      </c>
    </row>
    <row r="16" spans="1:5">
      <c r="C16" s="6">
        <f>100%-D16</f>
        <v>0.54121806738245104</v>
      </c>
      <c r="D16" s="1">
        <f>D15/C15</f>
        <v>0.45878193261754896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dieta Mayo</vt:lpstr>
      <vt:lpstr>Dieta Junio</vt:lpstr>
      <vt:lpstr>Dieta 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López Rendòn</dc:creator>
  <cp:lastModifiedBy>Guadalupe López Rendòn</cp:lastModifiedBy>
  <dcterms:created xsi:type="dcterms:W3CDTF">2025-06-03T16:43:57Z</dcterms:created>
  <dcterms:modified xsi:type="dcterms:W3CDTF">2025-09-25T21:30:16Z</dcterms:modified>
</cp:coreProperties>
</file>